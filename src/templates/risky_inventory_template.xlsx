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" sheetId="2" state="visible" r:id="rId2"/>
  </sheets>
  <definedNames/>
  <calcPr calcId="0" fullCalcOnLoad="1"/>
  <pivotCaches>
    <pivotCache xmlns:r="http://schemas.openxmlformats.org/officeDocument/2006/relationships" cacheId="10" r:id="rId3"/>
  </pivotCaches>
</workbook>
</file>

<file path=xl/styles.xml><?xml version="1.0" encoding="utf-8"?>
<styleSheet xmlns="http://schemas.openxmlformats.org/spreadsheetml/2006/main">
  <numFmts count="3">
    <numFmt numFmtId="164" formatCode="#,##0.000"/>
    <numFmt numFmtId="165" formatCode="#,##0.0"/>
    <numFmt numFmtId="166" formatCode="&quot;$&quot;#,##0"/>
  </numFmts>
  <fonts count="1"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top"/>
    </xf>
    <xf numFmtId="0" fontId="0" fillId="2" borderId="1" applyAlignment="1" pivotButton="0" quotePrefix="0" xfId="0">
      <alignment vertical="top"/>
    </xf>
    <xf numFmtId="3" fontId="0" fillId="0" borderId="0" applyAlignment="1" pivotButton="0" quotePrefix="0" xfId="0">
      <alignment horizontal="right" vertical="top"/>
    </xf>
    <xf numFmtId="14" fontId="0" fillId="0" borderId="0" applyAlignment="1" pivotButton="0" quotePrefix="0" xfId="0">
      <alignment horizontal="right" vertical="top"/>
    </xf>
    <xf numFmtId="164" fontId="0" fillId="0" borderId="0" applyAlignment="1" pivotButton="0" quotePrefix="0" xfId="0">
      <alignment horizontal="right" vertical="top"/>
    </xf>
    <xf numFmtId="4" fontId="0" fillId="0" borderId="0" applyAlignment="1" pivotButton="0" quotePrefix="0" xfId="0">
      <alignment horizontal="right" vertical="top"/>
    </xf>
    <xf numFmtId="165" fontId="0" fillId="0" borderId="0" applyAlignment="1" pivotButton="0" quotePrefix="0" xfId="0">
      <alignment horizontal="right" vertical="top"/>
    </xf>
    <xf numFmtId="0" fontId="0" fillId="2" borderId="1" applyAlignment="1" pivotButton="0" quotePrefix="0" xfId="0">
      <alignment vertical="top" wrapText="1"/>
    </xf>
    <xf numFmtId="0" fontId="0" fillId="0" borderId="0" applyAlignment="1" pivotButton="1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Jessica Cnossen" refreshedDate="46197.36868460648" createdVersion="8" refreshedVersion="8" minRefreshableVersion="3" recordCount="0" r:id="rId1">
  <cacheSource type="worksheet">
    <worksheetSource ref="A1:U1" sheet="Detail"/>
  </cacheSource>
  <cacheFields count="24">
    <cacheField name="Material" uniqueList="1" numFmtId="0" sqlType="0" hierarchy="0" level="0" databaseField="1">
      <sharedItems count="0"/>
    </cacheField>
    <cacheField name="Material Description" uniqueList="1" numFmtId="0" sqlType="0" hierarchy="0" level="0" databaseField="1">
      <sharedItems count="0"/>
    </cacheField>
    <cacheField name="Material Group" uniqueList="1" numFmtId="0" sqlType="0" hierarchy="0" level="0" databaseField="1">
      <sharedItems count="0"/>
    </cacheField>
    <cacheField name="Material Group Desc." uniqueList="1" numFmtId="0" sqlType="0" hierarchy="0" level="0" databaseField="1">
      <sharedItems count="0"/>
    </cacheField>
    <cacheField name="Purchasing Group" uniqueList="1" numFmtId="0" sqlType="0" hierarchy="0" level="0" databaseField="1">
      <sharedItems count="0"/>
    </cacheField>
    <cacheField name="Description p. group" uniqueList="1" numFmtId="0" sqlType="0" hierarchy="0" level="0" databaseField="1">
      <sharedItems count="0"/>
    </cacheField>
    <cacheField name="Brand Manager" uniqueList="1" numFmtId="0" sqlType="0" hierarchy="0" level="0" databaseField="1">
      <sharedItems count="0"/>
    </cacheField>
    <cacheField name="Brand Manager Desc" uniqueList="1" numFmtId="0" sqlType="0" hierarchy="0" level="0" databaseField="1">
      <sharedItems count="0"/>
    </cacheField>
    <cacheField name="MRP Area" uniqueList="1" numFmtId="0" sqlType="0" hierarchy="0" level="0" databaseField="1">
      <sharedItems count="0"/>
    </cacheField>
    <cacheField name="Batch" uniqueList="1" numFmtId="0" sqlType="0" hierarchy="0" level="0" databaseField="1">
      <sharedItems count="0"/>
    </cacheField>
    <cacheField name="SLED Offset in days" uniqueList="1" numFmtId="3" sqlType="0" hierarchy="0" level="0" databaseField="1">
      <sharedItems count="0"/>
    </cacheField>
    <cacheField name="Batch Expiry Date" uniqueList="1" numFmtId="14" sqlType="0" hierarchy="0" level="0" databaseField="1">
      <sharedItems count="0"/>
      <fieldGroup par="22"/>
    </cacheField>
    <cacheField name="MRP Last Sell Date" uniqueList="1" numFmtId="14" sqlType="0" hierarchy="0" level="0" databaseField="1">
      <sharedItems count="0"/>
    </cacheField>
    <cacheField name="Quantity" uniqueList="1" numFmtId="0" sqlType="0" hierarchy="0" level="0" databaseField="1">
      <sharedItems count="0"/>
    </cacheField>
    <cacheField name="Base Unit of Measure" uniqueList="1" numFmtId="0" sqlType="0" hierarchy="0" level="0" databaseField="1">
      <sharedItems count="0"/>
    </cacheField>
    <cacheField name="Qty Val. UoM" uniqueList="1" numFmtId="0" sqlType="0" hierarchy="0" level="0" databaseField="1">
      <sharedItems count="0"/>
    </cacheField>
    <cacheField name="Total Stock" uniqueList="1" numFmtId="164" sqlType="0" hierarchy="0" level="0" databaseField="1">
      <sharedItems count="0"/>
    </cacheField>
    <cacheField name="Moving price" uniqueList="1" numFmtId="4" sqlType="0" hierarchy="0" level="0" databaseField="1">
      <sharedItems count="0"/>
    </cacheField>
    <cacheField name="Value" uniqueList="1" numFmtId="0" sqlType="0" hierarchy="0" level="0" databaseField="1">
      <sharedItems count="0"/>
    </cacheField>
    <cacheField name="Batch Comment" uniqueList="1" numFmtId="0" sqlType="0" hierarchy="0" level="0" databaseField="1">
      <sharedItems count="0"/>
    </cacheField>
    <cacheField name="Bucket" uniqueList="1" sqlType="0" hierarchy="0" level="0" databaseField="1">
      <sharedItems count="0"/>
    </cacheField>
    <cacheField name="Months (Batch Expiry Date)" uniqueList="1" numFmtId="0" sqlType="0" hierarchy="0" level="0" databaseField="0">
      <sharedItems count="0"/>
      <fieldGroup base="11">
        <rangePr autoStart="1" autoEnd="1" groupBy="months" startDate="2023-04-12T00:00:00" endDate="2026-12-10T00:00:00" groupInterval="1"/>
        <groupItems count="14">
          <s v="&lt;2023-04-1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12-10"/>
        </groupItems>
      </fieldGroup>
    </cacheField>
    <cacheField name="Quarters (Batch Expiry Date)" uniqueList="1" numFmtId="0" sqlType="0" hierarchy="0" level="0" databaseField="0">
      <sharedItems count="0"/>
      <fieldGroup base="11">
        <rangePr autoStart="1" autoEnd="1" groupBy="quarters" startDate="2023-04-12T00:00:00" endDate="2026-12-10T00:00:00" groupInterval="1"/>
        <groupItems count="6">
          <s v="&lt;2023-04-12"/>
          <s v="Qtr1"/>
          <s v="Qtr2"/>
          <s v="Qtr3"/>
          <s v="Qtr4"/>
          <s v="&gt;2026-12-10"/>
        </groupItems>
      </fieldGroup>
    </cacheField>
    <cacheField name="Years (Batch Expiry Date)" uniqueList="1" numFmtId="0" sqlType="0" hierarchy="0" level="0" databaseField="0">
      <sharedItems count="0"/>
      <fieldGroup base="11">
        <rangePr autoStart="1" autoEnd="1" groupBy="years" startDate="2023-04-12T00:00:00" endDate="2026-12-10T00:00:00" groupInterval="1"/>
        <groupItems count="6">
          <s v="&lt;2023-04-12"/>
          <s v="2023"/>
          <s v="2024"/>
          <s v="2025"/>
          <s v="2026"/>
          <s v="&gt;2026-12-10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0"/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:H133" firstHeaderRow="0" firstDataRow="1" firstDataCol="5" rowPageCount="3" colPageCount="1"/>
  <pivotFields count="24">
    <pivotField axis="axisRow" showDropDowns="1" compact="0" outline="0" subtotalTop="1" dragToRow="1" dragToCol="1" dragToPage="1" dragToData="1" dragOff="1" showAll="0" topAutoShow="1" itemPageCount="10" sortType="manual" defaultSubtotal="0">
      <items count="52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513">
        <item t="data" sd="1" x="441"/>
        <item t="data" sd="1" x="117"/>
        <item t="data" sd="1" x="121"/>
        <item t="data" sd="1" x="404"/>
        <item t="data" sd="1" x="403"/>
        <item t="data" sd="1" x="116"/>
        <item t="data" sd="1" x="111"/>
        <item t="data" sd="1" x="110"/>
        <item t="data" sd="1" x="115"/>
        <item t="data" sd="1" x="114"/>
        <item t="data" sd="1" x="112"/>
        <item t="data" sd="1" x="113"/>
        <item t="data" sd="1" x="448"/>
        <item t="data" sd="1" x="443"/>
        <item t="data" sd="1" x="442"/>
        <item t="data" sd="1" x="445"/>
        <item t="data" sd="1" x="449"/>
        <item t="data" sd="1" x="444"/>
        <item t="data" sd="1" x="447"/>
        <item t="data" sd="1" x="446"/>
        <item t="data" sd="1" x="256"/>
        <item t="data" sd="1" x="260"/>
        <item t="data" sd="1" x="255"/>
        <item t="data" sd="1" x="254"/>
        <item t="data" sd="1" x="253"/>
        <item t="data" sd="1" x="400"/>
        <item t="data" sd="1" x="399"/>
        <item t="data" sd="1" x="395"/>
        <item t="data" sd="1" x="397"/>
        <item t="data" sd="1" x="398"/>
        <item t="data" sd="1" x="396"/>
        <item t="data" sd="1" x="201"/>
        <item t="data" sd="1" x="138"/>
        <item t="data" sd="1" x="179"/>
        <item t="data" sd="1" x="182"/>
        <item t="data" sd="1" x="180"/>
        <item t="data" sd="1" x="185"/>
        <item t="data" sd="1" x="184"/>
        <item t="data" sd="1" x="392"/>
        <item t="data" sd="1" x="183"/>
        <item t="data" sd="1" x="181"/>
        <item t="data" sd="1" x="389"/>
        <item t="data" sd="1" x="388"/>
        <item t="data" sd="1" x="76"/>
        <item t="data" sd="1" x="79"/>
        <item t="data" sd="1" x="78"/>
        <item t="data" sd="1" x="77"/>
        <item t="data" sd="1" x="186"/>
        <item t="data" sd="1" x="187"/>
        <item t="data" sd="1" x="316"/>
        <item t="data" sd="1" x="317"/>
        <item t="data" sd="1" x="318"/>
        <item t="data" sd="1" x="321"/>
        <item t="data" sd="1" x="331"/>
        <item t="data" sd="1" x="319"/>
        <item t="data" sd="1" x="323"/>
        <item t="data" sd="1" x="320"/>
        <item t="data" sd="1" x="322"/>
        <item t="data" sd="1" x="59"/>
        <item t="data" sd="1" x="47"/>
        <item t="data" sd="1" x="224"/>
        <item t="data" sd="1" x="209"/>
        <item t="data" sd="1" x="412"/>
        <item t="data" sd="1" x="411"/>
        <item t="data" sd="1" x="350"/>
        <item t="data" sd="1" x="351"/>
        <item t="data" sd="1" x="352"/>
        <item t="data" sd="1" x="353"/>
        <item t="data" sd="1" x="325"/>
        <item t="data" sd="1" x="330"/>
        <item t="data" sd="1" x="324"/>
        <item t="data" sd="1" x="315"/>
        <item t="data" sd="1" x="326"/>
        <item t="data" sd="1" x="329"/>
        <item t="data" sd="1" x="327"/>
        <item t="data" sd="1" x="314"/>
        <item t="data" sd="1" x="328"/>
        <item t="data" sd="1" x="140"/>
        <item t="data" sd="1" x="55"/>
        <item t="data" sd="1" x="54"/>
        <item t="data" sd="1" x="202"/>
        <item t="data" sd="1" x="210"/>
        <item t="data" sd="1" x="108"/>
        <item t="data" sd="1" x="334"/>
        <item t="data" sd="1" x="333"/>
        <item t="data" sd="1" x="505"/>
        <item t="data" sd="1" x="408"/>
        <item t="data" sd="1" x="406"/>
        <item t="data" sd="1" x="405"/>
        <item t="data" sd="1" x="407"/>
        <item t="data" sd="1" x="409"/>
        <item t="data" sd="1" x="435"/>
        <item t="data" sd="1" x="297"/>
        <item t="data" sd="1" x="296"/>
        <item t="data" sd="1" x="257"/>
        <item t="data" sd="1" x="259"/>
        <item t="data" sd="1" x="258"/>
        <item t="data" sd="1" x="98"/>
        <item t="data" sd="1" x="80"/>
        <item t="data" sd="1" x="75"/>
        <item t="data" sd="1" x="90"/>
        <item t="data" sd="1" x="64"/>
        <item t="data" sd="1" x="72"/>
        <item t="data" sd="1" x="89"/>
        <item t="data" sd="1" x="82"/>
        <item t="data" sd="1" x="70"/>
        <item t="data" sd="1" x="71"/>
        <item t="data" sd="1" x="39"/>
        <item t="data" sd="1" x="73"/>
        <item t="data" sd="1" x="99"/>
        <item t="data" sd="1" x="58"/>
        <item t="data" sd="1" x="83"/>
        <item t="data" sd="1" x="65"/>
        <item t="data" sd="1" x="66"/>
        <item t="data" sd="1" x="68"/>
        <item t="data" sd="1" x="43"/>
        <item t="data" sd="1" x="236"/>
        <item t="data" sd="1" x="237"/>
        <item t="data" sd="1" x="238"/>
        <item t="data" sd="1" x="239"/>
        <item t="data" sd="1" x="240"/>
        <item t="data" sd="1" x="295"/>
        <item t="data" sd="1" x="24"/>
        <item t="data" sd="1" x="28"/>
        <item t="data" sd="1" x="29"/>
        <item t="data" sd="1" x="26"/>
        <item t="data" sd="1" x="25"/>
        <item t="data" sd="1" x="27"/>
        <item t="data" sd="1" x="32"/>
        <item t="data" sd="1" x="31"/>
        <item t="data" sd="1" x="30"/>
        <item t="data" sd="1" x="69"/>
        <item t="data" sd="1" x="13"/>
        <item t="data" sd="1" x="12"/>
        <item t="data" sd="1" x="177"/>
        <item t="data" sd="1" x="178"/>
        <item t="data" sd="1" x="387"/>
        <item t="data" sd="1" x="235"/>
        <item t="data" sd="1" x="305"/>
        <item t="data" sd="1" x="302"/>
        <item t="data" sd="1" x="301"/>
        <item t="data" sd="1" x="306"/>
        <item t="data" sd="1" x="104"/>
        <item t="data" sd="1" x="101"/>
        <item t="data" sd="1" x="102"/>
        <item t="data" sd="1" x="103"/>
        <item t="data" sd="1" x="349"/>
        <item t="data" sd="1" x="50"/>
        <item t="data" sd="1" x="450"/>
        <item t="data" sd="1" x="139"/>
        <item t="data" sd="1" x="310"/>
        <item t="data" sd="1" x="303"/>
        <item t="data" sd="1" x="304"/>
        <item t="data" sd="1" x="307"/>
        <item t="data" sd="1" x="57"/>
        <item t="data" sd="1" x="81"/>
        <item t="data" sd="1" x="394"/>
        <item t="data" sd="1" x="437"/>
        <item t="data" sd="1" x="436"/>
        <item t="data" sd="1" x="273"/>
        <item t="data" sd="1" x="264"/>
        <item t="data" sd="1" x="272"/>
        <item t="data" sd="1" x="274"/>
        <item t="data" sd="1" x="132"/>
        <item t="data" sd="1" x="131"/>
        <item t="data" sd="1" x="109"/>
        <item t="data" sd="1" x="383"/>
        <item t="data" sd="1" x="382"/>
        <item t="data" sd="1" x="485"/>
        <item t="data" sd="1" x="482"/>
        <item t="data" sd="1" x="483"/>
        <item t="data" sd="1" x="484"/>
        <item t="data" sd="1" x="481"/>
        <item t="data" sd="1" x="410"/>
        <item t="data" sd="1" x="455"/>
        <item t="data" sd="1" x="456"/>
        <item t="data" sd="1" x="452"/>
        <item t="data" sd="1" x="457"/>
        <item t="data" sd="1" x="458"/>
        <item t="data" sd="1" x="459"/>
        <item t="data" sd="1" x="454"/>
        <item t="data" sd="1" x="159"/>
        <item t="data" sd="1" x="175"/>
        <item t="data" sd="1" x="176"/>
        <item t="data" sd="1" x="465"/>
        <item t="data" sd="1" x="464"/>
        <item t="data" sd="1" x="466"/>
        <item t="data" sd="1" x="461"/>
        <item t="data" sd="1" x="462"/>
        <item t="data" sd="1" x="463"/>
        <item t="data" sd="1" x="35"/>
        <item t="data" sd="1" x="252"/>
        <item t="data" sd="1" x="262"/>
        <item t="data" sd="1" x="261"/>
        <item t="data" sd="1" x="248"/>
        <item t="data" sd="1" x="129"/>
        <item t="data" sd="1" x="107"/>
        <item t="data" sd="1" x="119"/>
        <item t="data" sd="1" x="120"/>
        <item t="data" sd="1" x="130"/>
        <item t="data" sd="1" x="356"/>
        <item t="data" sd="1" x="468"/>
        <item t="data" sd="1" x="469"/>
        <item t="data" sd="1" x="470"/>
        <item t="data" sd="1" x="268"/>
        <item t="data" sd="1" x="118"/>
        <item t="data" sd="1" x="41"/>
        <item t="data" sd="1" x="40"/>
        <item t="data" sd="1" x="42"/>
        <item t="data" sd="1" x="87"/>
        <item t="data" sd="1" x="88"/>
        <item t="data" sd="1" x="74"/>
        <item t="data" sd="1" x="67"/>
        <item t="data" sd="1" x="86"/>
        <item t="data" sd="1" x="281"/>
        <item t="data" sd="1" x="282"/>
        <item t="data" sd="1" x="14"/>
        <item t="data" sd="1" x="269"/>
        <item t="data" sd="1" x="232"/>
        <item t="data" sd="1" x="233"/>
        <item t="data" sd="1" x="173"/>
        <item t="data" sd="1" x="172"/>
        <item t="data" sd="1" x="380"/>
        <item t="data" sd="1" x="379"/>
        <item t="data" sd="1" x="347"/>
        <item t="data" sd="1" x="348"/>
        <item t="data" sd="1" x="417"/>
        <item t="data" sd="1" x="341"/>
        <item t="data" sd="1" x="344"/>
        <item t="data" sd="1" x="343"/>
        <item t="data" sd="1" x="340"/>
        <item t="data" sd="1" x="345"/>
        <item t="data" sd="1" x="342"/>
        <item t="data" sd="1" x="346"/>
        <item t="data" sd="1" x="18"/>
        <item t="data" sd="1" x="378"/>
        <item t="data" sd="1" x="62"/>
        <item t="data" sd="1" x="17"/>
        <item t="data" sd="1" x="63"/>
        <item t="data" sd="1" x="416"/>
        <item t="data" sd="1" x="339"/>
        <item t="data" sd="1" x="478"/>
        <item t="data" sd="1" x="311"/>
        <item t="data" sd="1" x="299"/>
        <item t="data" sd="1" x="300"/>
        <item t="data" sd="1" x="391"/>
        <item t="data" sd="1" x="312"/>
        <item t="data" sd="1" x="313"/>
        <item t="data" sd="1" x="298"/>
        <item t="data" sd="1" x="338"/>
        <item t="data" sd="1" x="246"/>
        <item t="data" sd="1" x="247"/>
        <item t="data" sd="1" x="250"/>
        <item t="data" sd="1" x="249"/>
        <item t="data" sd="1" x="263"/>
        <item t="data" sd="1" x="251"/>
        <item t="data" sd="1" x="160"/>
        <item t="data" sd="1" x="163"/>
        <item t="data" sd="1" x="162"/>
        <item t="data" sd="1" x="0"/>
        <item t="data" sd="1" x="208"/>
        <item t="data" sd="1" x="223"/>
        <item t="data" sd="1" x="199"/>
        <item t="data" sd="1" x="200"/>
        <item t="data" sd="1" x="48"/>
        <item t="data" sd="1" x="49"/>
        <item t="data" sd="1" x="46"/>
        <item t="data" sd="1" x="45"/>
        <item t="data" sd="1" x="44"/>
        <item t="data" sd="1" x="23"/>
        <item t="data" sd="1" x="19"/>
        <item t="data" sd="1" x="21"/>
        <item t="data" sd="1" x="309"/>
        <item t="data" sd="1" x="308"/>
        <item t="data" sd="1" x="20"/>
        <item t="data" sd="1" x="11"/>
        <item t="data" sd="1" x="354"/>
        <item t="data" sd="1" x="37"/>
        <item t="data" sd="1" x="38"/>
        <item t="data" sd="1" x="36"/>
        <item t="data" sd="1" x="225"/>
        <item t="data" sd="1" x="226"/>
        <item t="data" sd="1" x="386"/>
        <item t="data" sd="1" x="507"/>
        <item t="data" sd="1" x="510"/>
        <item t="data" sd="1" x="508"/>
        <item t="data" sd="1" x="511"/>
        <item t="data" sd="1" x="506"/>
        <item t="data" sd="1" x="509"/>
        <item t="data" sd="1" x="53"/>
        <item t="data" sd="1" x="51"/>
        <item t="data" sd="1" x="52"/>
        <item t="data" sd="1" x="512"/>
        <item t="data" sd="1" x="480"/>
        <item t="data" sd="1" x="479"/>
        <item t="data" sd="1" x="9"/>
        <item t="data" sd="1" x="8"/>
        <item t="data" sd="1" x="434"/>
        <item t="data" sd="1" x="433"/>
        <item t="data" sd="1" x="10"/>
        <item t="data" sd="1" x="6"/>
        <item t="data" sd="1" x="4"/>
        <item t="data" sd="1" x="5"/>
        <item t="data" sd="1" x="7"/>
        <item t="data" sd="1" x="1"/>
        <item t="data" sd="1" x="2"/>
        <item t="data" sd="1" x="3"/>
        <item t="data" sd="1" x="242"/>
        <item t="data" sd="1" x="245"/>
        <item t="data" sd="1" x="492"/>
        <item t="data" sd="1" x="243"/>
        <item t="data" sd="1" x="244"/>
        <item t="data" sd="1" x="126"/>
        <item t="data" sd="1" x="122"/>
        <item t="data" sd="1" x="127"/>
        <item t="data" sd="1" x="106"/>
        <item t="data" sd="1" x="270"/>
        <item t="data" sd="1" x="271"/>
        <item t="data" sd="1" x="161"/>
        <item t="data" sd="1" x="278"/>
        <item t="data" sd="1" x="279"/>
        <item t="data" sd="1" x="280"/>
        <item t="data" sd="1" x="277"/>
        <item t="data" sd="1" x="276"/>
        <item t="data" sd="1" x="275"/>
        <item t="data" sd="1" x="230"/>
        <item t="data" sd="1" x="231"/>
        <item t="data" sd="1" x="335"/>
        <item t="data" sd="1" x="336"/>
        <item t="data" sd="1" x="214"/>
        <item t="data" sd="1" x="215"/>
        <item t="data" sd="1" x="220"/>
        <item t="data" sd="1" x="216"/>
        <item t="data" sd="1" x="219"/>
        <item t="data" sd="1" x="218"/>
        <item t="data" sd="1" x="217"/>
        <item t="data" sd="1" x="222"/>
        <item t="data" sd="1" x="472"/>
        <item t="data" sd="1" x="471"/>
        <item t="data" sd="1" x="290"/>
        <item t="data" sd="1" x="289"/>
        <item t="data" sd="1" x="288"/>
        <item t="data" sd="1" x="292"/>
        <item t="data" sd="1" x="293"/>
        <item t="data" sd="1" x="291"/>
        <item t="data" sd="1" x="294"/>
        <item t="data" sd="1" x="34"/>
        <item t="data" sd="1" x="33"/>
        <item t="data" sd="1" x="128"/>
        <item t="data" sd="1" x="426"/>
        <item t="data" sd="1" x="432"/>
        <item t="data" sd="1" x="150"/>
        <item t="data" sd="1" x="146"/>
        <item t="data" sd="1" x="148"/>
        <item t="data" sd="1" x="149"/>
        <item t="data" sd="1" x="147"/>
        <item t="data" sd="1" x="152"/>
        <item t="data" sd="1" x="151"/>
        <item t="data" sd="1" x="153"/>
        <item t="data" sd="1" x="155"/>
        <item t="data" sd="1" x="154"/>
        <item t="data" sd="1" x="428"/>
        <item t="data" sd="1" x="431"/>
        <item t="data" sd="1" x="427"/>
        <item t="data" sd="1" x="430"/>
        <item t="data" sd="1" x="429"/>
        <item t="data" sd="1" x="145"/>
        <item t="data" sd="1" x="141"/>
        <item t="data" sd="1" x="142"/>
        <item t="data" sd="1" x="144"/>
        <item t="data" sd="1" x="143"/>
        <item t="data" sd="1" x="124"/>
        <item t="data" sd="1" x="123"/>
        <item t="data" sd="1" x="125"/>
        <item t="data" sd="1" x="203"/>
        <item t="data" sd="1" x="423"/>
        <item t="data" sd="1" x="424"/>
        <item t="data" sd="1" x="425"/>
        <item t="data" sd="1" x="420"/>
        <item t="data" sd="1" x="419"/>
        <item t="data" sd="1" x="418"/>
        <item t="data" sd="1" x="421"/>
        <item t="data" sd="1" x="422"/>
        <item t="data" sd="1" x="393"/>
        <item t="data" sd="1" x="473"/>
        <item t="data" sd="1" x="212"/>
        <item t="data" sd="1" x="213"/>
        <item t="data" sd="1" x="174"/>
        <item t="data" sd="1" x="211"/>
        <item t="data" sd="1" x="105"/>
        <item t="data" sd="1" x="414"/>
        <item t="data" sd="1" x="413"/>
        <item t="data" sd="1" x="191"/>
        <item t="data" sd="1" x="192"/>
        <item t="data" sd="1" x="193"/>
        <item t="data" sd="1" x="440"/>
        <item t="data" sd="1" x="439"/>
        <item t="data" sd="1" x="438"/>
        <item t="data" sd="1" x="189"/>
        <item t="data" sd="1" x="190"/>
        <item t="data" sd="1" x="195"/>
        <item t="data" sd="1" x="194"/>
        <item t="data" sd="1" x="415"/>
        <item t="data" sd="1" x="197"/>
        <item t="data" sd="1" x="188"/>
        <item t="data" sd="1" x="196"/>
        <item t="data" sd="1" x="198"/>
        <item t="data" sd="1" x="22"/>
        <item t="data" sd="1" x="157"/>
        <item t="data" sd="1" x="158"/>
        <item t="data" sd="1" x="497"/>
        <item t="data" sd="1" x="496"/>
        <item t="data" sd="1" x="493"/>
        <item t="data" sd="1" x="494"/>
        <item t="data" sd="1" x="499"/>
        <item t="data" sd="1" x="498"/>
        <item t="data" sd="1" x="495"/>
        <item t="data" sd="1" x="500"/>
        <item t="data" sd="1" x="501"/>
        <item t="data" sd="1" x="502"/>
        <item t="data" sd="1" x="241"/>
        <item t="data" sd="1" x="503"/>
        <item t="data" sd="1" x="504"/>
        <item t="data" sd="1" x="332"/>
        <item t="data" sd="1" x="453"/>
        <item t="data" sd="1" x="460"/>
        <item t="data" sd="1" x="451"/>
        <item t="data" sd="1" x="467"/>
        <item t="data" sd="1" x="134"/>
        <item t="data" sd="1" x="136"/>
        <item t="data" sd="1" x="133"/>
        <item t="data" sd="1" x="137"/>
        <item t="data" sd="1" x="135"/>
        <item t="data" sd="1" x="92"/>
        <item t="data" sd="1" x="91"/>
        <item t="data" sd="1" x="93"/>
        <item t="data" sd="1" x="94"/>
        <item t="data" sd="1" x="96"/>
        <item t="data" sd="1" x="97"/>
        <item t="data" sd="1" x="95"/>
        <item t="data" sd="1" x="100"/>
        <item t="data" sd="1" x="287"/>
        <item t="data" sd="1" x="360"/>
        <item t="data" sd="1" x="370"/>
        <item t="data" sd="1" x="357"/>
        <item t="data" sd="1" x="371"/>
        <item t="data" sd="1" x="377"/>
        <item t="data" sd="1" x="359"/>
        <item t="data" sd="1" x="363"/>
        <item t="data" sd="1" x="369"/>
        <item t="data" sd="1" x="361"/>
        <item t="data" sd="1" x="362"/>
        <item t="data" sd="1" x="366"/>
        <item t="data" sd="1" x="364"/>
        <item t="data" sd="1" x="375"/>
        <item t="data" sd="1" x="367"/>
        <item t="data" sd="1" x="372"/>
        <item t="data" sd="1" x="358"/>
        <item t="data" sd="1" x="373"/>
        <item t="data" sd="1" x="376"/>
        <item t="data" sd="1" x="368"/>
        <item t="data" sd="1" x="365"/>
        <item t="data" sd="1" x="374"/>
        <item t="data" sd="1" x="381"/>
        <item t="data" sd="1" x="285"/>
        <item t="data" sd="1" x="284"/>
        <item t="data" sd="1" x="283"/>
        <item t="data" sd="1" x="286"/>
        <item t="data" sd="1" x="355"/>
        <item t="data" sd="1" x="16"/>
        <item t="data" sd="1" x="15"/>
        <item t="data" sd="1" x="227"/>
        <item t="data" sd="1" x="229"/>
        <item t="data" sd="1" x="228"/>
        <item t="data" sd="1" x="156"/>
        <item t="data" sd="1" x="234"/>
        <item t="data" sd="1" x="488"/>
        <item t="data" sd="1" x="491"/>
        <item t="data" sd="1" x="490"/>
        <item t="data" sd="1" x="486"/>
        <item t="data" sd="1" x="487"/>
        <item t="data" sd="1" x="489"/>
        <item t="data" sd="1" x="337"/>
        <item t="data" sd="1" x="205"/>
        <item t="data" sd="1" x="206"/>
        <item t="data" sd="1" x="207"/>
        <item t="data" sd="1" x="204"/>
        <item t="data" sd="1" x="221"/>
        <item t="data" sd="1" x="84"/>
        <item t="data" sd="1" x="85"/>
        <item t="data" sd="1" x="267"/>
        <item t="data" sd="1" x="390"/>
        <item t="data" sd="1" x="266"/>
        <item t="data" sd="1" x="265"/>
        <item t="data" sd="1" x="474"/>
        <item t="data" sd="1" x="477"/>
        <item t="data" sd="1" x="475"/>
        <item t="data" sd="1" x="476"/>
        <item t="data" sd="1" x="401"/>
        <item t="data" sd="1" x="402"/>
        <item t="data" sd="1" x="61"/>
        <item t="data" sd="1" x="60"/>
        <item t="data" sd="1" x="56"/>
        <item t="data" sd="1" x="165"/>
        <item t="data" sd="1" x="167"/>
        <item t="data" sd="1" x="164"/>
        <item t="data" sd="1" x="166"/>
        <item t="data" sd="1" x="171"/>
        <item t="data" sd="1" x="170"/>
        <item t="data" sd="1" x="169"/>
        <item t="data" sd="1" x="168"/>
        <item t="data" sd="1" x="384"/>
        <item t="data" sd="1" x="385"/>
      </items>
    </pivotField>
    <pivotField showDropDowns="1" compact="0" outline="0" subtotalTop="1" dragToRow="1" dragToCol="1" dragToPage="1" dragToData="1" dragOff="1" showAll="0" topAutoShow="1" itemPageCount="10" sortType="manual" defaultSubtotal="0"/>
    <pivotField axis="axisRow" showDropDowns="1" compact="0" outline="0" subtotalTop="1" dragToRow="1" dragToCol="1" dragToPage="1" dragToData="1" dragOff="1" showAll="0" topAutoShow="1" itemPageCount="10" sortType="descending" defaultSubtotal="0">
      <items count="127">
        <item t="data" sd="0" x="113"/>
        <item t="data" sd="0" x="26"/>
        <item t="data" sd="0" x="14"/>
        <item t="data" sd="0" x="114"/>
        <item t="data" sd="0" x="65"/>
        <item t="data" sd="0" x="64"/>
        <item t="data" sd="0" x="106"/>
        <item t="data" sd="0" x="45"/>
        <item t="data" sd="0" x="110"/>
        <item t="data" sd="0" x="83"/>
        <item t="data" sd="0" x="84"/>
        <item t="data" sd="0" x="85"/>
        <item t="data" sd="0" x="103"/>
        <item t="data" sd="0" x="20"/>
        <item t="data" sd="0" x="42"/>
        <item t="data" sd="0" x="82"/>
        <item t="data" sd="0" x="52"/>
        <item t="data" sd="0" x="41"/>
        <item t="data" sd="0" x="92"/>
        <item t="data" sd="0" x="28"/>
        <item t="data" sd="0" x="15"/>
        <item t="data" sd="0" x="46"/>
        <item t="data" sd="0" x="87"/>
        <item t="data" sd="0" x="125"/>
        <item t="data" sd="0" x="108"/>
        <item t="data" sd="0" x="59"/>
        <item t="data" sd="0" x="8"/>
        <item t="data" sd="0" x="78"/>
        <item t="data" sd="0" x="66"/>
        <item t="data" sd="0" x="12"/>
        <item t="data" sd="0" x="16"/>
        <item t="data" sd="0" x="21"/>
        <item t="data" sd="0" x="18"/>
        <item t="data" sd="0" x="19"/>
        <item t="data" sd="0" x="40"/>
        <item t="data" sd="0" x="102"/>
        <item t="data" sd="0" x="3"/>
        <item t="data" sd="0" x="91"/>
        <item t="data" sd="0" x="24"/>
        <item t="data" sd="0" x="115"/>
        <item t="data" sd="0" x="80"/>
        <item t="data" sd="0" x="99"/>
        <item t="data" sd="0" x="105"/>
        <item t="data" sd="0" x="67"/>
        <item t="data" sd="0" x="117"/>
        <item t="data" sd="0" x="109"/>
        <item t="data" sd="0" x="33"/>
        <item t="data" sd="0" x="118"/>
        <item t="data" sd="0" x="95"/>
        <item t="data" sd="0" x="39"/>
        <item t="data" sd="0" x="10"/>
        <item t="data" sd="0" x="124"/>
        <item t="data" sd="0" x="58"/>
        <item t="data" sd="0" x="119"/>
        <item t="data" sd="0" x="69"/>
        <item t="data" sd="0" x="13"/>
        <item t="data" sd="0" x="73"/>
        <item t="data" sd="0" x="4"/>
        <item t="data" sd="0" x="70"/>
        <item t="data" sd="0" x="11"/>
        <item t="data" sd="0" x="56"/>
        <item t="data" sd="0" x="37"/>
        <item t="data" sd="0" x="90"/>
        <item t="data" sd="0" x="81"/>
        <item t="data" sd="0" x="79"/>
        <item t="data" sd="0" x="6"/>
        <item t="data" sd="0" x="63"/>
        <item t="data" sd="0" x="34"/>
        <item t="data" sd="0" x="0"/>
        <item t="data" sd="0" x="93"/>
        <item t="data" sd="0" x="49"/>
        <item t="data" sd="0" x="44"/>
        <item t="data" sd="0" x="2"/>
        <item t="data" sd="0" x="101"/>
        <item t="data" sd="0" x="123"/>
        <item t="data" sd="0" x="53"/>
        <item t="data" sd="0" x="1"/>
        <item t="data" sd="0" x="61"/>
        <item t="data" sd="0" x="62"/>
        <item t="data" sd="0" x="71"/>
        <item t="data" sd="0" x="88"/>
        <item t="data" sd="0" x="51"/>
        <item t="data" sd="0" x="72"/>
        <item t="data" sd="0" x="55"/>
        <item t="data" sd="0" x="120"/>
        <item t="data" sd="0" x="9"/>
        <item t="data" sd="0" x="76"/>
        <item t="data" sd="0" x="77"/>
        <item t="data" sd="0" x="30"/>
        <item t="data" sd="0" x="112"/>
        <item t="data" sd="0" x="47"/>
        <item t="data" sd="0" x="111"/>
        <item t="data" sd="0" x="104"/>
        <item t="data" sd="0" x="121"/>
        <item t="data" sd="0" x="29"/>
        <item t="data" sd="0" x="50"/>
        <item t="data" sd="0" x="38"/>
        <item t="data" sd="0" x="25"/>
        <item t="data" sd="0" x="43"/>
        <item t="data" sd="0" x="60"/>
        <item t="data" sd="0" x="7"/>
        <item t="data" sd="0" x="32"/>
        <item t="data" sd="0" x="116"/>
        <item t="data" sd="0" x="27"/>
        <item t="data" sd="0" x="23"/>
        <item t="data" sd="0" x="75"/>
        <item t="data" sd="0" x="86"/>
        <item t="data" sd="0" x="74"/>
        <item t="data" sd="0" x="98"/>
        <item t="data" sd="0" x="94"/>
        <item t="data" sd="0" x="5"/>
        <item t="data" sd="0" x="96"/>
        <item t="data" sd="0" x="54"/>
        <item t="data" sd="0" x="57"/>
        <item t="data" sd="0" x="22"/>
        <item t="data" sd="0" x="48"/>
        <item t="data" sd="0" x="89"/>
        <item t="data" sd="0" x="31"/>
        <item t="data" sd="0" x="68"/>
        <item t="data" sd="0" x="122"/>
        <item t="data" sd="0" x="17"/>
        <item t="data" sd="0" x="35"/>
        <item t="data" sd="0" x="107"/>
        <item t="data" sd="0" x="97"/>
        <item t="data" sd="0" x="126"/>
        <item t="data" sd="0" x="36"/>
        <item t="data" sd="0" x="100"/>
      </items>
      <autoSortScope>
        <pivotArea type="normal" dataOnly="0" outline="0" fieldPosition="0">
          <references count="1">
            <reference field="4294967294" selected="0">
              <x v="2"/>
            </reference>
          </references>
        </pivotArea>
      </autoSortScope>
    </pivotField>
    <pivotField showDropDowns="1" compact="0" outline="0" subtotalTop="1" dragToRow="1" dragToCol="1" dragToPage="1" dragToData="1" dragOff="1" showAll="0" topAutoShow="1" itemPageCount="10" sortType="manual" defaultSubtotal="0"/>
    <pivotField axis="axisPage" showDropDowns="1" compact="0" outline="0" subtotalTop="1" dragToRow="1" dragToCol="1" dragToPage="1" dragToData="1" dragOff="1" showAll="0" topAutoShow="1" itemPageCount="10" sortType="manual" defaultSubtotal="0">
      <items count="11">
        <item t="data" sd="1" x="1"/>
        <item t="data" sd="1" x="6"/>
        <item t="data" sd="1" x="0"/>
        <item t="data" sd="1" x="2"/>
        <item t="data" sd="1" x="8"/>
        <item t="data" sd="1" x="7"/>
        <item t="data" sd="1" x="9"/>
        <item t="data" sd="1" x="5"/>
        <item t="data" sd="1" x="10"/>
        <item t="data" sd="1" x="3"/>
        <item t="data" sd="1" x="4"/>
      </items>
    </pivotField>
    <pivotField showDropDowns="1" compact="0" outline="0" subtotalTop="1" dragToRow="1" dragToCol="1" dragToPage="1" dragToData="1" dragOff="1" showAll="0" topAutoShow="1" itemPageCount="10" sortType="manual" defaultSubtotal="0"/>
    <pivotField axis="axisPage" showDropDowns="1" compact="0" outline="0" subtotalTop="1" dragToRow="1" dragToCol="1" dragToPage="1" dragToData="1" dragOff="1" showAll="0" topAutoShow="1" itemPageCount="10" sortType="manual" defaultSubtotal="0">
      <items count="24">
        <item t="data" sd="1" x="23"/>
        <item t="data" sd="1" x="1"/>
        <item t="data" sd="1" x="5"/>
        <item t="data" sd="1" x="15"/>
        <item t="data" sd="1" x="8"/>
        <item t="data" sd="1" x="22"/>
        <item t="data" sd="1" x="2"/>
        <item t="data" sd="1" x="16"/>
        <item t="data" sd="1" x="17"/>
        <item t="data" sd="1" x="7"/>
        <item t="data" sd="1" x="19"/>
        <item t="data" sd="1" x="11"/>
        <item t="data" sd="1" x="14"/>
        <item t="data" sd="1" x="3"/>
        <item t="data" sd="1" x="12"/>
        <item t="data" sd="1" x="0"/>
        <item t="data" sd="1" x="4"/>
        <item t="data" sd="1" x="13"/>
        <item t="data" sd="1" x="20"/>
        <item t="data" sd="1" x="21"/>
        <item t="data" sd="1" x="10"/>
        <item t="data" sd="1" x="6"/>
        <item t="data" sd="1" x="9"/>
        <item t="data" sd="1" x="18"/>
      </items>
    </pivotField>
    <pivotField axis="axisPage" showDropDowns="1" compact="0" outline="0" subtotalTop="1" dragToRow="1" dragToCol="1" dragToPage="1" dragToData="1" dragOff="1" showAll="0" topAutoShow="1" itemPageCount="10" sortType="manual" defaultSubtotal="0">
      <items count="5">
        <item t="data" sd="1" x="2"/>
        <item t="data" sd="1" x="0"/>
        <item t="data" sd="1" x="4"/>
        <item t="data" sd="1" x="1"/>
        <item t="data" sd="1" x="3"/>
      </items>
    </pivotField>
    <pivotField axis="axisRow" showDropDowns="1" compact="0" outline="0" subtotalTop="1" dragToRow="1" dragToCol="1" dragToPage="1" dragToData="1" dragOff="1" showAll="0" topAutoShow="1" itemPageCount="10" sortType="manual" defaultSubtotal="0">
      <items count="659">
        <item t="data" sd="1" x="342"/>
        <item t="data" sd="1" x="530"/>
        <item t="data" sd="1" x="349"/>
        <item t="data" sd="1" x="282"/>
        <item t="data" sd="1" x="185"/>
        <item t="data" sd="1" x="119"/>
        <item t="data" sd="1" x="220"/>
        <item t="data" sd="1" x="452"/>
        <item t="data" sd="1" x="176"/>
        <item t="data" sd="1" x="112"/>
        <item t="data" sd="1" x="233"/>
        <item t="data" sd="1" x="147"/>
        <item t="data" sd="1" x="498"/>
        <item t="data" sd="1" x="360"/>
        <item t="data" sd="1" x="464"/>
        <item t="data" sd="1" x="369"/>
        <item t="data" sd="1" x="234"/>
        <item t="data" sd="1" x="449"/>
        <item t="data" sd="1" x="186"/>
        <item t="data" sd="1" x="173"/>
        <item t="data" sd="1" x="335"/>
        <item t="data" sd="1" x="454"/>
        <item t="data" sd="1" x="257"/>
        <item t="data" sd="1" x="355"/>
        <item t="data" sd="1" x="447"/>
        <item t="data" sd="1" x="267"/>
        <item t="data" sd="1" x="261"/>
        <item t="data" sd="1" x="268"/>
        <item t="data" sd="1" x="436"/>
        <item t="data" sd="1" x="132"/>
        <item t="data" sd="1" x="263"/>
        <item t="data" sd="1" x="533"/>
        <item t="data" sd="1" x="148"/>
        <item t="data" sd="1" x="264"/>
        <item t="data" sd="1" x="271"/>
        <item t="data" sd="1" x="260"/>
        <item t="data" sd="1" x="258"/>
        <item t="data" sd="1" x="262"/>
        <item t="data" sd="1" x="555"/>
        <item t="data" sd="1" x="259"/>
        <item t="data" sd="1" x="560"/>
        <item t="data" sd="1" x="561"/>
        <item t="data" sd="1" x="142"/>
        <item t="data" sd="1" x="141"/>
        <item t="data" sd="1" x="556"/>
        <item t="data" sd="1" x="558"/>
        <item t="data" sd="1" x="200"/>
        <item t="data" sd="1" x="333"/>
        <item t="data" sd="1" x="414"/>
        <item t="data" sd="1" x="115"/>
        <item t="data" sd="1" x="126"/>
        <item t="data" sd="1" x="102"/>
        <item t="data" sd="1" x="574"/>
        <item t="data" sd="1" x="201"/>
        <item t="data" sd="1" x="575"/>
        <item t="data" sd="1" x="535"/>
        <item t="data" sd="1" x="19"/>
        <item t="data" sd="1" x="573"/>
        <item t="data" sd="1" x="576"/>
        <item t="data" sd="1" x="536"/>
        <item t="data" sd="1" x="537"/>
        <item t="data" sd="1" x="269"/>
        <item t="data" sd="1" x="113"/>
        <item t="data" sd="1" x="178"/>
        <item t="data" sd="1" x="526"/>
        <item t="data" sd="1" x="76"/>
        <item t="data" sd="1" x="438"/>
        <item t="data" sd="1" x="446"/>
        <item t="data" sd="1" x="517"/>
        <item t="data" sd="1" x="516"/>
        <item t="data" sd="1" x="512"/>
        <item t="data" sd="1" x="513"/>
        <item t="data" sd="1" x="515"/>
        <item t="data" sd="1" x="514"/>
        <item t="data" sd="1" x="385"/>
        <item t="data" sd="1" x="165"/>
        <item t="data" sd="1" x="534"/>
        <item t="data" sd="1" x="445"/>
        <item t="data" sd="1" x="453"/>
        <item t="data" sd="1" x="441"/>
        <item t="data" sd="1" x="136"/>
        <item t="data" sd="1" x="440"/>
        <item t="data" sd="1" x="228"/>
        <item t="data" sd="1" x="497"/>
        <item t="data" sd="1" x="226"/>
        <item t="data" sd="1" x="135"/>
        <item t="data" sd="1" x="38"/>
        <item t="data" sd="1" x="640"/>
        <item t="data" sd="1" x="571"/>
        <item t="data" sd="1" x="305"/>
        <item t="data" sd="1" x="187"/>
        <item t="data" sd="1" x="188"/>
        <item t="data" sd="1" x="225"/>
        <item t="data" sd="1" x="222"/>
        <item t="data" sd="1" x="224"/>
        <item t="data" sd="1" x="406"/>
        <item t="data" sd="1" x="150"/>
        <item t="data" sd="1" x="110"/>
        <item t="data" sd="1" x="572"/>
        <item t="data" sd="1" x="172"/>
        <item t="data" sd="1" x="101"/>
        <item t="data" sd="1" x="93"/>
        <item t="data" sd="1" x="94"/>
        <item t="data" sd="1" x="304"/>
        <item t="data" sd="1" x="35"/>
        <item t="data" sd="1" x="36"/>
        <item t="data" sd="1" x="287"/>
        <item t="data" sd="1" x="527"/>
        <item t="data" sd="1" x="525"/>
        <item t="data" sd="1" x="180"/>
        <item t="data" sd="1" x="160"/>
        <item t="data" sd="1" x="161"/>
        <item t="data" sd="1" x="168"/>
        <item t="data" sd="1" x="167"/>
        <item t="data" sd="1" x="461"/>
        <item t="data" sd="1" x="223"/>
        <item t="data" sd="1" x="416"/>
        <item t="data" sd="1" x="418"/>
        <item t="data" sd="1" x="653"/>
        <item t="data" sd="1" x="284"/>
        <item t="data" sd="1" x="199"/>
        <item t="data" sd="1" x="400"/>
        <item t="data" sd="1" x="401"/>
        <item t="data" sd="1" x="402"/>
        <item t="data" sd="1" x="399"/>
        <item t="data" sd="1" x="579"/>
        <item t="data" sd="1" x="120"/>
        <item t="data" sd="1" x="103"/>
        <item t="data" sd="1" x="538"/>
        <item t="data" sd="1" x="332"/>
        <item t="data" sd="1" x="509"/>
        <item t="data" sd="1" x="206"/>
        <item t="data" sd="1" x="378"/>
        <item t="data" sd="1" x="393"/>
        <item t="data" sd="1" x="122"/>
        <item t="data" sd="1" x="116"/>
        <item t="data" sd="1" x="643"/>
        <item t="data" sd="1" x="249"/>
        <item t="data" sd="1" x="242"/>
        <item t="data" sd="1" x="243"/>
        <item t="data" sd="1" x="346"/>
        <item t="data" sd="1" x="492"/>
        <item t="data" sd="1" x="463"/>
        <item t="data" sd="1" x="312"/>
        <item t="data" sd="1" x="315"/>
        <item t="data" sd="1" x="511"/>
        <item t="data" sd="1" x="244"/>
        <item t="data" sd="1" x="245"/>
        <item t="data" sd="1" x="541"/>
        <item t="data" sd="1" x="550"/>
        <item t="data" sd="1" x="247"/>
        <item t="data" sd="1" x="241"/>
        <item t="data" sd="1" x="250"/>
        <item t="data" sd="1" x="542"/>
        <item t="data" sd="1" x="551"/>
        <item t="data" sd="1" x="543"/>
        <item t="data" sd="1" x="658"/>
        <item t="data" sd="1" x="248"/>
        <item t="data" sd="1" x="246"/>
        <item t="data" sd="1" x="179"/>
        <item t="data" sd="1" x="184"/>
        <item t="data" sd="1" x="192"/>
        <item t="data" sd="1" x="181"/>
        <item t="data" sd="1" x="152"/>
        <item t="data" sd="1" x="621"/>
        <item t="data" sd="1" x="565"/>
        <item t="data" sd="1" x="154"/>
        <item t="data" sd="1" x="159"/>
        <item t="data" sd="1" x="523"/>
        <item t="data" sd="1" x="413"/>
        <item t="data" sd="1" x="657"/>
        <item t="data" sd="1" x="569"/>
        <item t="data" sd="1" x="409"/>
        <item t="data" sd="1" x="408"/>
        <item t="data" sd="1" x="157"/>
        <item t="data" sd="1" x="189"/>
        <item t="data" sd="1" x="502"/>
        <item t="data" sd="1" x="169"/>
        <item t="data" sd="1" x="650"/>
        <item t="data" sd="1" x="198"/>
        <item t="data" sd="1" x="174"/>
        <item t="data" sd="1" x="388"/>
        <item t="data" sd="1" x="314"/>
        <item t="data" sd="1" x="313"/>
        <item t="data" sd="1" x="78"/>
        <item t="data" sd="1" x="20"/>
        <item t="data" sd="1" x="562"/>
        <item t="data" sd="1" x="334"/>
        <item t="data" sd="1" x="623"/>
        <item t="data" sd="1" x="592"/>
        <item t="data" sd="1" x="114"/>
        <item t="data" sd="1" x="493"/>
        <item t="data" sd="1" x="367"/>
        <item t="data" sd="1" x="365"/>
        <item t="data" sd="1" x="21"/>
        <item t="data" sd="1" x="606"/>
        <item t="data" sd="1" x="124"/>
        <item t="data" sd="1" x="77"/>
        <item t="data" sd="1" x="303"/>
        <item t="data" sd="1" x="578"/>
        <item t="data" sd="1" x="597"/>
        <item t="data" sd="1" x="364"/>
        <item t="data" sd="1" x="386"/>
        <item t="data" sd="1" x="384"/>
        <item t="data" sd="1" x="391"/>
        <item t="data" sd="1" x="387"/>
        <item t="data" sd="1" x="310"/>
        <item t="data" sd="1" x="340"/>
        <item t="data" sd="1" x="74"/>
        <item t="data" sd="1" x="462"/>
        <item t="data" sd="1" x="450"/>
        <item t="data" sd="1" x="40"/>
        <item t="data" sd="1" x="390"/>
        <item t="data" sd="1" x="455"/>
        <item t="data" sd="1" x="624"/>
        <item t="data" sd="1" x="417"/>
        <item t="data" sd="1" x="615"/>
        <item t="data" sd="1" x="368"/>
        <item t="data" sd="1" x="443"/>
        <item t="data" sd="1" x="582"/>
        <item t="data" sd="1" x="362"/>
        <item t="data" sd="1" x="363"/>
        <item t="data" sd="1" x="584"/>
        <item t="data" sd="1" x="619"/>
        <item t="data" sd="1" x="641"/>
        <item t="data" sd="1" x="617"/>
        <item t="data" sd="1" x="341"/>
        <item t="data" sd="1" x="337"/>
        <item t="data" sd="1" x="336"/>
        <item t="data" sd="1" x="403"/>
        <item t="data" sd="1" x="602"/>
        <item t="data" sd="1" x="590"/>
        <item t="data" sd="1" x="580"/>
        <item t="data" sd="1" x="121"/>
        <item t="data" sd="1" x="28"/>
        <item t="data" sd="1" x="216"/>
        <item t="data" sd="1" x="405"/>
        <item t="data" sd="1" x="377"/>
        <item t="data" sd="1" x="604"/>
        <item t="data" sd="1" x="358"/>
        <item t="data" sd="1" x="647"/>
        <item t="data" sd="1" x="577"/>
        <item t="data" sd="1" x="361"/>
        <item t="data" sd="1" x="359"/>
        <item t="data" sd="1" x="616"/>
        <item t="data" sd="1" x="444"/>
        <item t="data" sd="1" x="177"/>
        <item t="data" sd="1" x="129"/>
        <item t="data" sd="1" x="398"/>
        <item t="data" sd="1" x="229"/>
        <item t="data" sd="1" x="352"/>
        <item t="data" sd="1" x="298"/>
        <item t="data" sd="1" x="238"/>
        <item t="data" sd="1" x="69"/>
        <item t="data" sd="1" x="507"/>
        <item t="data" sd="1" x="508"/>
        <item t="data" sd="1" x="404"/>
        <item t="data" sd="1" x="311"/>
        <item t="data" sd="1" x="273"/>
        <item t="data" sd="1" x="272"/>
        <item t="data" sd="1" x="433"/>
        <item t="data" sd="1" x="459"/>
        <item t="data" sd="1" x="506"/>
        <item t="data" sd="1" x="431"/>
        <item t="data" sd="1" x="432"/>
        <item t="data" sd="1" x="236"/>
        <item t="data" sd="1" x="655"/>
        <item t="data" sd="1" x="237"/>
        <item t="data" sd="1" x="23"/>
        <item t="data" sd="1" x="26"/>
        <item t="data" sd="1" x="411"/>
        <item t="data" sd="1" x="412"/>
        <item t="data" sd="1" x="646"/>
        <item t="data" sd="1" x="22"/>
        <item t="data" sd="1" x="240"/>
        <item t="data" sd="1" x="239"/>
        <item t="data" sd="1" x="27"/>
        <item t="data" sd="1" x="24"/>
        <item t="data" sd="1" x="296"/>
        <item t="data" sd="1" x="13"/>
        <item t="data" sd="1" x="297"/>
        <item t="data" sd="1" x="460"/>
        <item t="data" sd="1" x="457"/>
        <item t="data" sd="1" x="344"/>
        <item t="data" sd="1" x="345"/>
        <item t="data" sd="1" x="285"/>
        <item t="data" sd="1" x="329"/>
        <item t="data" sd="1" x="70"/>
        <item t="data" sd="1" x="322"/>
        <item t="data" sd="1" x="183"/>
        <item t="data" sd="1" x="71"/>
        <item t="data" sd="1" x="328"/>
        <item t="data" sd="1" x="62"/>
        <item t="data" sd="1" x="458"/>
        <item t="data" sd="1" x="456"/>
        <item t="data" sd="1" x="41"/>
        <item t="data" sd="1" x="373"/>
        <item t="data" sd="1" x="56"/>
        <item t="data" sd="1" x="42"/>
        <item t="data" sd="1" x="57"/>
        <item t="data" sd="1" x="98"/>
        <item t="data" sd="1" x="106"/>
        <item t="data" sd="1" x="44"/>
        <item t="data" sd="1" x="105"/>
        <item t="data" sd="1" x="86"/>
        <item t="data" sd="1" x="55"/>
        <item t="data" sd="1" x="87"/>
        <item t="data" sd="1" x="107"/>
        <item t="data" sd="1" x="104"/>
        <item t="data" sd="1" x="85"/>
        <item t="data" sd="1" x="43"/>
        <item t="data" sd="1" x="82"/>
        <item t="data" sd="1" x="374"/>
        <item t="data" sd="1" x="372"/>
        <item t="data" sd="1" x="520"/>
        <item t="data" sd="1" x="125"/>
        <item t="data" sd="1" x="196"/>
        <item t="data" sd="1" x="73"/>
        <item t="data" sd="1" x="649"/>
        <item t="data" sd="1" x="99"/>
        <item t="data" sd="1" x="45"/>
        <item t="data" sd="1" x="656"/>
        <item t="data" sd="1" x="505"/>
        <item t="data" sd="1" x="504"/>
        <item t="data" sd="1" x="97"/>
        <item t="data" sd="1" x="567"/>
        <item t="data" sd="1" x="566"/>
        <item t="data" sd="1" x="204"/>
        <item t="data" sd="1" x="256"/>
        <item t="data" sd="1" x="265"/>
        <item t="data" sd="1" x="63"/>
        <item t="data" sd="1" x="100"/>
        <item t="data" sd="1" x="211"/>
        <item t="data" sd="1" x="149"/>
        <item t="data" sd="1" x="559"/>
        <item t="data" sd="1" x="553"/>
        <item t="data" sd="1" x="557"/>
        <item t="data" sd="1" x="554"/>
        <item t="data" sd="1" x="254"/>
        <item t="data" sd="1" x="266"/>
        <item t="data" sd="1" x="75"/>
        <item t="data" sd="1" x="255"/>
        <item t="data" sd="1" x="212"/>
        <item t="data" sd="1" x="210"/>
        <item t="data" sd="1" x="208"/>
        <item t="data" sd="1" x="205"/>
        <item t="data" sd="1" x="209"/>
        <item t="data" sd="1" x="202"/>
        <item t="data" sd="1" x="203"/>
        <item t="data" sd="1" x="207"/>
        <item t="data" sd="1" x="522"/>
        <item t="data" sd="1" x="648"/>
        <item t="data" sd="1" x="654"/>
        <item t="data" sd="1" x="290"/>
        <item t="data" sd="1" x="521"/>
        <item t="data" sd="1" x="524"/>
        <item t="data" sd="1" x="193"/>
        <item t="data" sd="1" x="302"/>
        <item t="data" sd="1" x="91"/>
        <item t="data" sd="1" x="111"/>
        <item t="data" sd="1" x="39"/>
        <item t="data" sd="1" x="197"/>
        <item t="data" sd="1" x="251"/>
        <item t="data" sd="1" x="353"/>
        <item t="data" sd="1" x="354"/>
        <item t="data" sd="1" x="370"/>
        <item t="data" sd="1" x="230"/>
        <item t="data" sd="1" x="392"/>
        <item t="data" sd="1" x="375"/>
        <item t="data" sd="1" x="253"/>
        <item t="data" sd="1" x="294"/>
        <item t="data" sd="1" x="291"/>
        <item t="data" sd="1" x="350"/>
        <item t="data" sd="1" x="371"/>
        <item t="data" sd="1" x="231"/>
        <item t="data" sd="1" x="415"/>
        <item t="data" sd="1" x="442"/>
        <item t="data" sd="1" x="270"/>
        <item t="data" sd="1" x="499"/>
        <item t="data" sd="1" x="376"/>
        <item t="data" sd="1" x="227"/>
        <item t="data" sd="1" x="532"/>
        <item t="data" sd="1" x="351"/>
        <item t="data" sd="1" x="410"/>
        <item t="data" sd="1" x="171"/>
        <item t="data" sd="1" x="549"/>
        <item t="data" sd="1" x="546"/>
        <item t="data" sd="1" x="547"/>
        <item t="data" sd="1" x="544"/>
        <item t="data" sd="1" x="545"/>
        <item t="data" sd="1" x="548"/>
        <item t="data" sd="1" x="348"/>
        <item t="data" sd="1" x="356"/>
        <item t="data" sd="1" x="539"/>
        <item t="data" sd="1" x="232"/>
        <item t="data" sd="1" x="252"/>
        <item t="data" sd="1" x="277"/>
        <item t="data" sd="1" x="68"/>
        <item t="data" sd="1" x="531"/>
        <item t="data" sd="1" x="59"/>
        <item t="data" sd="1" x="529"/>
        <item t="data" sd="1" x="64"/>
        <item t="data" sd="1" x="66"/>
        <item t="data" sd="1" x="58"/>
        <item t="data" sd="1" x="552"/>
        <item t="data" sd="1" x="357"/>
        <item t="data" sd="1" x="151"/>
        <item t="data" sd="1" x="448"/>
        <item t="data" sd="1" x="108"/>
        <item t="data" sd="1" x="316"/>
        <item t="data" sd="1" x="607"/>
        <item t="data" sd="1" x="614"/>
        <item t="data" sd="1" x="637"/>
        <item t="data" sd="1" x="639"/>
        <item t="data" sd="1" x="638"/>
        <item t="data" sd="1" x="636"/>
        <item t="data" sd="1" x="568"/>
        <item t="data" sd="1" x="570"/>
        <item t="data" sd="1" x="605"/>
        <item t="data" sd="1" x="611"/>
        <item t="data" sd="1" x="634"/>
        <item t="data" sd="1" x="109"/>
        <item t="data" sd="1" x="214"/>
        <item t="data" sd="1" x="213"/>
        <item t="data" sd="1" x="215"/>
        <item t="data" sd="1" x="286"/>
        <item t="data" sd="1" x="67"/>
        <item t="data" sd="1" x="60"/>
        <item t="data" sd="1" x="603"/>
        <item t="data" sd="1" x="65"/>
        <item t="data" sd="1" x="61"/>
        <item t="data" sd="1" x="182"/>
        <item t="data" sd="1" x="622"/>
        <item t="data" sd="1" x="620"/>
        <item t="data" sd="1" x="613"/>
        <item t="data" sd="1" x="143"/>
        <item t="data" sd="1" x="630"/>
        <item t="data" sd="1" x="628"/>
        <item t="data" sd="1" x="626"/>
        <item t="data" sd="1" x="632"/>
        <item t="data" sd="1" x="633"/>
        <item t="data" sd="1" x="5"/>
        <item t="data" sd="1" x="420"/>
        <item t="data" sd="1" x="8"/>
        <item t="data" sd="1" x="1"/>
        <item t="data" sd="1" x="139"/>
        <item t="data" sd="1" x="324"/>
        <item t="data" sd="1" x="3"/>
        <item t="data" sd="1" x="325"/>
        <item t="data" sd="1" x="140"/>
        <item t="data" sd="1" x="12"/>
        <item t="data" sd="1" x="138"/>
        <item t="data" sd="1" x="434"/>
        <item t="data" sd="1" x="6"/>
        <item t="data" sd="1" x="331"/>
        <item t="data" sd="1" x="7"/>
        <item t="data" sd="1" x="435"/>
        <item t="data" sd="1" x="327"/>
        <item t="data" sd="1" x="10"/>
        <item t="data" sd="1" x="2"/>
        <item t="data" sd="1" x="419"/>
        <item t="data" sd="1" x="430"/>
        <item t="data" sd="1" x="18"/>
        <item t="data" sd="1" x="9"/>
        <item t="data" sd="1" x="321"/>
        <item t="data" sd="1" x="11"/>
        <item t="data" sd="1" x="510"/>
        <item t="data" sd="1" x="343"/>
        <item t="data" sd="1" x="175"/>
        <item t="data" sd="1" x="588"/>
        <item t="data" sd="1" x="596"/>
        <item t="data" sd="1" x="598"/>
        <item t="data" sd="1" x="599"/>
        <item t="data" sd="1" x="589"/>
        <item t="data" sd="1" x="600"/>
        <item t="data" sd="1" x="601"/>
        <item t="data" sd="1" x="618"/>
        <item t="data" sd="1" x="54"/>
        <item t="data" sd="1" x="323"/>
        <item t="data" sd="1" x="48"/>
        <item t="data" sd="1" x="49"/>
        <item t="data" sd="1" x="46"/>
        <item t="data" sd="1" x="47"/>
        <item t="data" sd="1" x="326"/>
        <item t="data" sd="1" x="518"/>
        <item t="data" sd="1" x="153"/>
        <item t="data" sd="1" x="155"/>
        <item t="data" sd="1" x="53"/>
        <item t="data" sd="1" x="52"/>
        <item t="data" sd="1" x="37"/>
        <item t="data" sd="1" x="50"/>
        <item t="data" sd="1" x="51"/>
        <item t="data" sd="1" x="330"/>
        <item t="data" sd="1" x="528"/>
        <item t="data" sd="1" x="347"/>
        <item t="data" sd="1" x="162"/>
        <item t="data" sd="1" x="581"/>
        <item t="data" sd="1" x="593"/>
        <item t="data" sd="1" x="594"/>
        <item t="data" sd="1" x="583"/>
        <item t="data" sd="1" x="587"/>
        <item t="data" sd="1" x="595"/>
        <item t="data" sd="1" x="585"/>
        <item t="data" sd="1" x="586"/>
        <item t="data" sd="1" x="591"/>
        <item t="data" sd="1" x="95"/>
        <item t="data" sd="1" x="92"/>
        <item t="data" sd="1" x="96"/>
        <item t="data" sd="1" x="283"/>
        <item t="data" sd="1" x="625"/>
        <item t="data" sd="1" x="635"/>
        <item t="data" sd="1" x="158"/>
        <item t="data" sd="1" x="407"/>
        <item t="data" sd="1" x="644"/>
        <item t="data" sd="1" x="651"/>
        <item t="data" sd="1" x="170"/>
        <item t="data" sd="1" x="610"/>
        <item t="data" sd="1" x="609"/>
        <item t="data" sd="1" x="608"/>
        <item t="data" sd="1" x="627"/>
        <item t="data" sd="1" x="629"/>
        <item t="data" sd="1" x="631"/>
        <item t="data" sd="1" x="612"/>
        <item t="data" sd="1" x="25"/>
        <item t="data" sd="1" x="479"/>
        <item t="data" sd="1" x="473"/>
        <item t="data" sd="1" x="489"/>
        <item t="data" sd="1" x="474"/>
        <item t="data" sd="1" x="166"/>
        <item t="data" sd="1" x="145"/>
        <item t="data" sd="1" x="146"/>
        <item t="data" sd="1" x="144"/>
        <item t="data" sd="1" x="422"/>
        <item t="data" sd="1" x="424"/>
        <item t="data" sd="1" x="421"/>
        <item t="data" sd="1" x="423"/>
        <item t="data" sd="1" x="72"/>
        <item t="data" sd="1" x="134"/>
        <item t="data" sd="1" x="80"/>
        <item t="data" sd="1" x="89"/>
        <item t="data" sd="1" x="88"/>
        <item t="data" sd="1" x="465"/>
        <item t="data" sd="1" x="15"/>
        <item t="data" sd="1" x="79"/>
        <item t="data" sd="1" x="81"/>
        <item t="data" sd="1" x="118"/>
        <item t="data" sd="1" x="14"/>
        <item t="data" sd="1" x="317"/>
        <item t="data" sd="1" x="217"/>
        <item t="data" sd="1" x="218"/>
        <item t="data" sd="1" x="137"/>
        <item t="data" sd="1" x="396"/>
        <item t="data" sd="1" x="394"/>
        <item t="data" sd="1" x="397"/>
        <item t="data" sd="1" x="156"/>
        <item t="data" sd="1" x="496"/>
        <item t="data" sd="1" x="123"/>
        <item t="data" sd="1" x="540"/>
        <item t="data" sd="1" x="451"/>
        <item t="data" sd="1" x="487"/>
        <item t="data" sd="1" x="117"/>
        <item t="data" sd="1" x="235"/>
        <item t="data" sd="1" x="4"/>
        <item t="data" sd="1" x="563"/>
        <item t="data" sd="1" x="564"/>
        <item t="data" sd="1" x="83"/>
        <item t="data" sd="1" x="90"/>
        <item t="data" sd="1" x="84"/>
        <item t="data" sd="1" x="468"/>
        <item t="data" sd="1" x="466"/>
        <item t="data" sd="1" x="366"/>
        <item t="data" sd="1" x="491"/>
        <item t="data" sd="1" x="467"/>
        <item t="data" sd="1" x="383"/>
        <item t="data" sd="1" x="429"/>
        <item t="data" sd="1" x="389"/>
        <item t="data" sd="1" x="484"/>
        <item t="data" sd="1" x="319"/>
        <item t="data" sd="1" x="318"/>
        <item t="data" sd="1" x="320"/>
        <item t="data" sd="1" x="127"/>
        <item t="data" sd="1" x="128"/>
        <item t="data" sd="1" x="133"/>
        <item t="data" sd="1" x="439"/>
        <item t="data" sd="1" x="382"/>
        <item t="data" sd="1" x="471"/>
        <item t="data" sd="1" x="469"/>
        <item t="data" sd="1" x="437"/>
        <item t="data" sd="1" x="31"/>
        <item t="data" sd="1" x="29"/>
        <item t="data" sd="1" x="30"/>
        <item t="data" sd="1" x="32"/>
        <item t="data" sd="1" x="34"/>
        <item t="data" sd="1" x="33"/>
        <item t="data" sd="1" x="339"/>
        <item t="data" sd="1" x="380"/>
        <item t="data" sd="1" x="488"/>
        <item t="data" sd="1" x="219"/>
        <item t="data" sd="1" x="486"/>
        <item t="data" sd="1" x="490"/>
        <item t="data" sd="1" x="485"/>
        <item t="data" sd="1" x="476"/>
        <item t="data" sd="1" x="481"/>
        <item t="data" sd="1" x="483"/>
        <item t="data" sd="1" x="480"/>
        <item t="data" sd="1" x="472"/>
        <item t="data" sd="1" x="381"/>
        <item t="data" sd="1" x="274"/>
        <item t="data" sd="1" x="275"/>
        <item t="data" sd="1" x="276"/>
        <item t="data" sd="1" x="279"/>
        <item t="data" sd="1" x="280"/>
        <item t="data" sd="1" x="281"/>
        <item t="data" sd="1" x="163"/>
        <item t="data" sd="1" x="164"/>
        <item t="data" sd="1" x="482"/>
        <item t="data" sd="1" x="295"/>
        <item t="data" sd="1" x="278"/>
        <item t="data" sd="1" x="470"/>
        <item t="data" sd="1" x="478"/>
        <item t="data" sd="1" x="475"/>
        <item t="data" sd="1" x="477"/>
        <item t="data" sd="1" x="292"/>
        <item t="data" sd="1" x="288"/>
        <item t="data" sd="1" x="289"/>
        <item t="data" sd="1" x="293"/>
        <item t="data" sd="1" x="426"/>
        <item t="data" sd="1" x="299"/>
        <item t="data" sd="1" x="300"/>
        <item t="data" sd="1" x="17"/>
        <item t="data" sd="1" x="16"/>
        <item t="data" sd="1" x="652"/>
        <item t="data" sd="1" x="503"/>
        <item t="data" sd="1" x="395"/>
        <item t="data" sd="1" x="519"/>
        <item t="data" sd="1" x="0"/>
        <item t="data" sd="1" x="501"/>
        <item t="data" sd="1" x="500"/>
        <item t="data" sd="1" x="307"/>
        <item t="data" sd="1" x="308"/>
        <item t="data" sd="1" x="309"/>
        <item t="data" sd="1" x="306"/>
        <item t="data" sd="1" x="428"/>
        <item t="data" sd="1" x="221"/>
        <item t="data" sd="1" x="338"/>
        <item t="data" sd="1" x="427"/>
        <item t="data" sd="1" x="425"/>
        <item t="data" sd="1" x="494"/>
        <item t="data" sd="1" x="495"/>
        <item t="data" sd="1" x="195"/>
        <item t="data" sd="1" x="301"/>
        <item t="data" sd="1" x="190"/>
        <item t="data" sd="1" x="194"/>
        <item t="data" sd="1" x="379"/>
        <item t="data" sd="1" x="191"/>
        <item t="data" sd="1" x="642"/>
        <item t="data" sd="1" x="645"/>
        <item t="data" sd="1" x="130"/>
        <item t="data" sd="1" x="131"/>
      </items>
    </pivotField>
    <pivotField showDropDowns="1" compact="0" numFmtId="3" outline="0" subtotalTop="1" dragToRow="1" dragToCol="1" dragToPage="1" dragToData="1" dragOff="1" showAll="0" topAutoShow="1" itemPageCount="10" sortType="manual" defaultSubtotal="0"/>
    <pivotField axis="axisRow" showDropDowns="1" compact="0" outline="0" subtotalTop="1" dragToRow="1" dragToCol="1" dragToPage="1" dragToData="1" dragOff="1" showAll="0" topAutoShow="1" itemPageCount="10" sortType="manual" defaultSubtotal="0">
      <items count="185">
        <item t="data" sd="1" x="177"/>
        <item t="data" sd="1" x="179"/>
        <item t="data" sd="1" x="74"/>
        <item t="data" sd="1" x="151"/>
        <item t="data" sd="1" x="183"/>
        <item t="data" sd="1" x="159"/>
        <item t="data" sd="1" x="178"/>
        <item t="data" sd="1" x="156"/>
        <item t="data" sd="1" x="180"/>
        <item t="data" sd="1" x="160"/>
        <item t="data" sd="1" x="69"/>
        <item t="data" sd="1" x="162"/>
        <item t="data" sd="1" x="64"/>
        <item t="data" sd="1" x="161"/>
        <item t="data" sd="1" x="131"/>
        <item t="data" sd="1" x="130"/>
        <item t="data" sd="1" x="184"/>
        <item t="data" sd="1" x="112"/>
        <item t="data" sd="1" x="111"/>
        <item t="data" sd="1" x="53"/>
        <item t="data" sd="1" x="182"/>
        <item t="data" sd="1" x="129"/>
        <item t="data" sd="1" x="116"/>
        <item t="data" sd="1" x="61"/>
        <item t="data" sd="1" x="8"/>
        <item t="data" sd="1" x="117"/>
        <item t="data" sd="1" x="1"/>
        <item t="data" sd="1" x="127"/>
        <item t="data" sd="1" x="52"/>
        <item t="data" sd="1" x="31"/>
        <item t="data" sd="1" x="3"/>
        <item t="data" sd="1" x="147"/>
        <item t="data" sd="1" x="5"/>
        <item t="data" sd="1" x="113"/>
        <item t="data" sd="1" x="65"/>
        <item t="data" sd="1" x="109"/>
        <item t="data" sd="1" x="154"/>
        <item t="data" sd="1" x="135"/>
        <item t="data" sd="1" x="45"/>
        <item t="data" sd="1" x="150"/>
        <item t="data" sd="1" x="92"/>
        <item t="data" sd="1" x="110"/>
        <item t="data" sd="1" x="121"/>
        <item t="data" sd="1" x="175"/>
        <item t="data" sd="1" x="136"/>
        <item t="data" sd="1" x="93"/>
        <item t="data" sd="1" x="114"/>
        <item t="data" sd="1" x="86"/>
        <item t="data" sd="1" x="84"/>
        <item t="data" sd="1" x="94"/>
        <item t="data" sd="1" x="83"/>
        <item t="data" sd="1" x="88"/>
        <item t="data" sd="1" x="78"/>
        <item t="data" sd="1" x="134"/>
        <item t="data" sd="1" x="85"/>
        <item t="data" sd="1" x="40"/>
        <item t="data" sd="1" x="39"/>
        <item t="data" sd="1" x="90"/>
        <item t="data" sd="1" x="76"/>
        <item t="data" sd="1" x="67"/>
        <item t="data" sd="1" x="87"/>
        <item t="data" sd="1" x="42"/>
        <item t="data" sd="1" x="55"/>
        <item t="data" sd="1" x="158"/>
        <item t="data" sd="1" x="91"/>
        <item t="data" sd="1" x="79"/>
        <item t="data" sd="1" x="48"/>
        <item t="data" sd="1" x="32"/>
        <item t="data" sd="1" x="18"/>
        <item t="data" sd="1" x="44"/>
        <item t="data" sd="1" x="106"/>
        <item t="data" sd="1" x="73"/>
        <item t="data" sd="1" x="75"/>
        <item t="data" sd="1" x="115"/>
        <item t="data" sd="1" x="132"/>
        <item t="data" sd="1" x="124"/>
        <item t="data" sd="1" x="17"/>
        <item t="data" sd="1" x="50"/>
        <item t="data" sd="1" x="133"/>
        <item t="data" sd="1" x="80"/>
        <item t="data" sd="1" x="108"/>
        <item t="data" sd="1" x="37"/>
        <item t="data" sd="1" x="98"/>
        <item t="data" sd="1" x="149"/>
        <item t="data" sd="1" x="20"/>
        <item t="data" sd="1" x="27"/>
        <item t="data" sd="1" x="102"/>
        <item t="data" sd="1" x="155"/>
        <item t="data" sd="1" x="107"/>
        <item t="data" sd="1" x="105"/>
        <item t="data" sd="1" x="100"/>
        <item t="data" sd="1" x="148"/>
        <item t="data" sd="1" x="33"/>
        <item t="data" sd="1" x="62"/>
        <item t="data" sd="1" x="38"/>
        <item t="data" sd="1" x="23"/>
        <item t="data" sd="1" x="41"/>
        <item t="data" sd="1" x="0"/>
        <item t="data" sd="1" x="15"/>
        <item t="data" sd="1" x="95"/>
        <item t="data" sd="1" x="28"/>
        <item t="data" sd="1" x="59"/>
        <item t="data" sd="1" x="89"/>
        <item t="data" sd="1" x="12"/>
        <item t="data" sd="1" x="36"/>
        <item t="data" sd="1" x="99"/>
        <item t="data" sd="1" x="68"/>
        <item t="data" sd="1" x="66"/>
        <item t="data" sd="1" x="103"/>
        <item t="data" sd="1" x="4"/>
        <item t="data" sd="1" x="35"/>
        <item t="data" sd="1" x="14"/>
        <item t="data" sd="1" x="24"/>
        <item t="data" sd="1" x="56"/>
        <item t="data" sd="1" x="60"/>
        <item t="data" sd="1" x="47"/>
        <item t="data" sd="1" x="171"/>
        <item t="data" sd="1" x="144"/>
        <item t="data" sd="1" x="19"/>
        <item t="data" sd="1" x="22"/>
        <item t="data" sd="1" x="82"/>
        <item t="data" sd="1" x="137"/>
        <item t="data" sd="1" x="72"/>
        <item t="data" sd="1" x="71"/>
        <item t="data" sd="1" x="43"/>
        <item t="data" sd="1" x="104"/>
        <item t="data" sd="1" x="77"/>
        <item t="data" sd="1" x="143"/>
        <item t="data" sd="1" x="58"/>
        <item t="data" sd="1" x="10"/>
        <item t="data" sd="1" x="2"/>
        <item t="data" sd="1" x="51"/>
        <item t="data" sd="1" x="16"/>
        <item t="data" sd="1" x="139"/>
        <item t="data" sd="1" x="163"/>
        <item t="data" sd="1" x="34"/>
        <item t="data" sd="1" x="46"/>
        <item t="data" sd="1" x="54"/>
        <item t="data" sd="1" x="30"/>
        <item t="data" sd="1" x="81"/>
        <item t="data" sd="1" x="9"/>
        <item t="data" sd="1" x="128"/>
        <item t="data" sd="1" x="176"/>
        <item t="data" sd="1" x="21"/>
        <item t="data" sd="1" x="49"/>
        <item t="data" sd="1" x="11"/>
        <item t="data" sd="1" x="6"/>
        <item t="data" sd="1" x="70"/>
        <item t="data" sd="1" x="118"/>
        <item t="data" sd="1" x="57"/>
        <item t="data" sd="1" x="141"/>
        <item t="data" sd="1" x="29"/>
        <item t="data" sd="1" x="96"/>
        <item t="data" sd="1" x="120"/>
        <item t="data" sd="1" x="140"/>
        <item t="data" sd="1" x="97"/>
        <item t="data" sd="1" x="101"/>
        <item t="data" sd="1" x="153"/>
        <item t="data" sd="1" x="119"/>
        <item t="data" sd="1" x="146"/>
        <item t="data" sd="1" x="167"/>
        <item t="data" sd="1" x="145"/>
        <item t="data" sd="1" x="173"/>
        <item t="data" sd="1" x="174"/>
        <item t="data" sd="1" x="122"/>
        <item t="data" sd="1" x="157"/>
        <item t="data" sd="1" x="13"/>
        <item t="data" sd="1" x="63"/>
        <item t="data" sd="1" x="125"/>
        <item t="data" sd="1" x="181"/>
        <item t="data" sd="1" x="126"/>
        <item t="data" sd="1" x="170"/>
        <item t="data" sd="1" x="138"/>
        <item t="data" sd="1" x="152"/>
        <item t="data" sd="1" x="7"/>
        <item t="data" sd="1" x="25"/>
        <item t="data" sd="1" x="26"/>
        <item t="data" sd="1" x="142"/>
        <item t="data" sd="1" x="172"/>
        <item t="data" sd="1" x="169"/>
        <item t="data" sd="1" x="164"/>
        <item t="data" sd="1" x="168"/>
        <item t="data" sd="1" x="165"/>
        <item t="data" sd="1" x="166"/>
        <item t="data" sd="1" x="123"/>
      </items>
    </pivotField>
    <pivotField showDropDowns="1" compact="0" outline="0" subtotalTop="1" dragToRow="1" dragToCol="1" dragToPage="1" dragToData="1" dragOff="1" showAll="0" topAutoShow="1" itemPageCount="10" sortType="manual" defaultSubtotal="0"/>
    <pivotField dataField="1"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dataField="1" showDropDowns="1" compact="0" numFmtId="164" outline="0" subtotalTop="1" dragToRow="1" dragToCol="1" dragToPage="1" dragToData="1" dragOff="1" showAll="0" topAutoShow="1" itemPageCount="10" sortType="manual" defaultSubtotal="0"/>
    <pivotField showDropDowns="1" compact="0" numFmtId="4" outline="0" subtotalTop="1" dragToRow="1" dragToCol="1" dragToPage="1" dragToData="1" dragOff="1" showAll="0" topAutoShow="1" itemPageCount="10" sortType="manual" defaultSubtotal="0"/>
    <pivotField dataField="1" showDropDowns="1" compact="0" outline="0" subtotalTop="1" dragToRow="1" dragToCol="1" dragToPage="1" dragToData="1" dragOff="1" showAll="0" topAutoShow="1" itemPageCount="10" sortType="manual" defaultSubtotal="0"/>
    <pivotField showDropDowns="1" compact="0" outline="0" subtotalTop="1" dragToRow="1" dragToCol="1" dragToPage="1" dragToData="1" dragOff="1" showAll="0" topAutoShow="1" itemPageCount="10" sortType="manual" defaultSubtotal="0"/>
    <pivotField axis="axisPage" showDropDowns="1" compact="1" outline="1" subtotalTop="1" dragToRow="1" dragToCol="1" dragToPage="1" dragToData="1" dragOff="1" showAll="0" topAutoShow="1" itemPageCount="10" sortType="manual" defaultSubtotal="1">
      <items count="1"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0">
      <items count="14">
        <item t="data" sd="0" x="0"/>
        <item t="data" sd="0" x="1"/>
        <item t="data" sd="0" x="2"/>
        <item t="data" sd="0" x="3"/>
        <item t="data" sd="0" x="4"/>
        <item t="data" sd="0" x="5"/>
        <item t="data" sd="0" x="6"/>
        <item t="data" sd="0" x="7"/>
        <item t="data" sd="0" x="8"/>
        <item t="data" sd="0" x="9"/>
        <item t="data" sd="0" x="10"/>
        <item t="data" sd="0" x="11"/>
        <item t="data" sd="0" x="12"/>
        <item t="data" sd="0" x="13"/>
      </items>
    </pivotField>
    <pivotField showDropDowns="1" compact="0" outline="0" subtotalTop="1" dragToRow="1" dragToCol="1" dragToPage="1" dragToData="1" dragOff="1" showAll="0" topAutoShow="1" itemPageCount="10" sortType="manual" defaultSubtotal="0">
      <items count="6">
        <item t="data" sd="0" x="0"/>
        <item t="data" sd="0" x="1"/>
        <item t="data" sd="0" x="2"/>
        <item t="data" sd="0" x="3"/>
        <item t="data" sd="0" x="4"/>
        <item t="data" sd="0" x="5"/>
      </items>
    </pivotField>
    <pivotField showDropDowns="1" compact="0" outline="0" subtotalTop="1" dragToRow="1" dragToCol="1" dragToPage="1" dragToData="1" dragOff="1" showAll="0" topAutoShow="1" itemPageCount="10" sortType="manual" defaultSubtotal="0">
      <items count="6">
        <item t="data" sd="0" x="0"/>
        <item t="data" sd="0" x="1"/>
        <item t="data" sd="0" x="2"/>
        <item t="data" sd="0" x="3"/>
        <item t="data" sd="0" x="4"/>
        <item t="data" sd="0" x="5"/>
      </items>
    </pivotField>
  </pivotFields>
  <rowFields count="5">
    <field x="3"/>
    <field x="0"/>
    <field x="1"/>
    <field x="9"/>
    <field x="11"/>
  </rowFields>
  <rowItems count="128">
    <i t="data" r="0" i="0">
      <x v="91"/>
    </i>
    <i t="data" r="0" i="0">
      <x v="55"/>
    </i>
    <i t="data" r="0" i="0">
      <x v="111"/>
    </i>
    <i t="data" r="0" i="0">
      <x v="98"/>
    </i>
    <i t="data" r="0" i="0">
      <x v="32"/>
    </i>
    <i t="data" r="0" i="0">
      <x v="88"/>
    </i>
    <i t="data" r="0" i="0">
      <x v="29"/>
    </i>
    <i t="data" r="0" i="0">
      <x v="30"/>
    </i>
    <i t="data" r="0" i="0">
      <x v="64"/>
    </i>
    <i t="data" r="0" i="0">
      <x v="86"/>
    </i>
    <i t="data" r="0" i="0">
      <x v="1"/>
    </i>
    <i t="data" r="0" i="0">
      <x v="38"/>
    </i>
    <i t="data" r="0" i="0">
      <x v="76"/>
    </i>
    <i t="data" r="0" i="0">
      <x v="66"/>
    </i>
    <i t="data" r="0" i="0">
      <x v="95"/>
    </i>
    <i t="data" r="0" i="0">
      <x v="54"/>
    </i>
    <i t="data" r="0" i="0">
      <x v="6"/>
    </i>
    <i t="data" r="0" i="0">
      <x v="75"/>
    </i>
    <i t="data" r="0" i="0">
      <x v="120"/>
    </i>
    <i t="data" r="0" i="0">
      <x v="18"/>
    </i>
    <i t="data" r="0" i="0">
      <x v="89"/>
    </i>
    <i t="data" r="0" i="0">
      <x v="119"/>
    </i>
    <i t="data" r="0" i="0">
      <x v="44"/>
    </i>
    <i t="data" r="0" i="0">
      <x v="3"/>
    </i>
    <i t="data" r="0" i="0">
      <x v="104"/>
    </i>
    <i t="data" r="0" i="0">
      <x v="47"/>
    </i>
    <i t="data" r="0" i="0">
      <x v="2"/>
    </i>
    <i t="data" r="0" i="0">
      <x v="118"/>
    </i>
    <i t="data" r="0" i="0">
      <x v="97"/>
    </i>
    <i t="data" r="0" i="0">
      <x v="43"/>
    </i>
    <i t="data" r="0" i="0">
      <x v="26"/>
    </i>
    <i t="data" r="0" i="0">
      <x v="13"/>
    </i>
    <i t="data" r="0" i="0">
      <x v="125"/>
    </i>
    <i t="data" r="0" i="0">
      <x v="92"/>
    </i>
    <i t="data" r="0" i="0">
      <x v="67"/>
    </i>
    <i t="data" r="0" i="0">
      <x v="53"/>
    </i>
    <i t="data" r="0" i="0">
      <x v="56"/>
    </i>
    <i t="data" r="0" i="0">
      <x v="28"/>
    </i>
    <i t="data" r="0" i="0">
      <x v="24"/>
    </i>
    <i t="data" r="0" i="0">
      <x v="22"/>
    </i>
    <i t="data" r="0" i="0">
      <x v="50"/>
    </i>
    <i t="data" r="0" i="0">
      <x v="82"/>
    </i>
    <i t="data" r="0" i="0">
      <x v="101"/>
    </i>
    <i t="data" r="0" i="0">
      <x v="59"/>
    </i>
    <i t="data" r="0" i="0">
      <x v="63"/>
    </i>
    <i t="data" r="0" i="0">
      <x v="65"/>
    </i>
    <i t="data" r="0" i="0">
      <x v="41"/>
    </i>
    <i t="data" r="0" i="0">
      <x v="31"/>
    </i>
    <i t="data" r="0" i="0">
      <x v="17"/>
    </i>
    <i t="data" r="0" i="0">
      <x v="102"/>
    </i>
    <i t="data" r="0" i="0">
      <x v="70"/>
    </i>
    <i t="data" r="0" i="0">
      <x v="0"/>
    </i>
    <i t="data" r="0" i="0">
      <x v="7"/>
    </i>
    <i t="data" r="0" i="0">
      <x v="9"/>
    </i>
    <i t="data" r="0" i="0">
      <x v="34"/>
    </i>
    <i t="data" r="0" i="0">
      <x v="84"/>
    </i>
    <i t="data" r="0" i="0">
      <x v="8"/>
    </i>
    <i t="data" r="0" i="0">
      <x v="15"/>
    </i>
    <i t="data" r="0" i="0">
      <x v="5"/>
    </i>
    <i t="data" r="0" i="0">
      <x v="115"/>
    </i>
    <i t="data" r="0" i="0">
      <x v="78"/>
    </i>
    <i t="data" r="0" i="0">
      <x v="37"/>
    </i>
    <i t="data" r="0" i="0">
      <x v="33"/>
    </i>
    <i t="data" r="0" i="0">
      <x v="80"/>
    </i>
    <i t="data" r="0" i="0">
      <x v="81"/>
    </i>
    <i t="data" r="0" i="0">
      <x v="60"/>
    </i>
    <i t="data" r="0" i="0">
      <x v="52"/>
    </i>
    <i t="data" r="0" i="0">
      <x v="62"/>
    </i>
    <i t="data" r="0" i="0">
      <x v="57"/>
    </i>
    <i t="data" r="0" i="0">
      <x v="51"/>
    </i>
    <i t="data" r="0" i="0">
      <x v="93"/>
    </i>
    <i t="data" r="0" i="0">
      <x v="72"/>
    </i>
    <i t="data" r="0" i="0">
      <x v="126"/>
    </i>
    <i t="data" r="0" i="0">
      <x v="39"/>
    </i>
    <i t="data" r="0" i="0">
      <x v="4"/>
    </i>
    <i t="data" r="0" i="0">
      <x v="99"/>
    </i>
    <i t="data" r="0" i="0">
      <x v="61"/>
    </i>
    <i t="data" r="0" i="0">
      <x v="16"/>
    </i>
    <i t="data" r="0" i="0">
      <x v="79"/>
    </i>
    <i t="data" r="0" i="0">
      <x v="122"/>
    </i>
    <i t="data" r="0" i="0">
      <x v="117"/>
    </i>
    <i t="data" r="0" i="0">
      <x v="94"/>
    </i>
    <i t="data" r="0" i="0">
      <x v="36"/>
    </i>
    <i t="data" r="0" i="0">
      <x v="112"/>
    </i>
    <i t="data" r="0" i="0">
      <x v="74"/>
    </i>
    <i t="data" r="0" i="0">
      <x v="58"/>
    </i>
    <i t="data" r="0" i="0">
      <x v="83"/>
    </i>
    <i t="data" r="0" i="0">
      <x v="10"/>
    </i>
    <i t="data" r="0" i="0">
      <x v="73"/>
    </i>
    <i t="data" r="0" i="0">
      <x v="69"/>
    </i>
    <i t="data" r="0" i="0">
      <x v="20"/>
    </i>
    <i t="data" r="0" i="0">
      <x v="85"/>
    </i>
    <i t="data" r="0" i="0">
      <x v="25"/>
    </i>
    <i t="data" r="0" i="0">
      <x v="40"/>
    </i>
    <i t="data" r="0" i="0">
      <x v="107"/>
    </i>
    <i t="data" r="0" i="0">
      <x v="87"/>
    </i>
    <i t="data" r="0" i="0">
      <x v="113"/>
    </i>
    <i t="data" r="0" i="0">
      <x v="103"/>
    </i>
    <i t="data" r="0" i="0">
      <x v="123"/>
    </i>
    <i t="data" r="0" i="0">
      <x v="114"/>
    </i>
    <i t="data" r="0" i="0">
      <x v="110"/>
    </i>
    <i t="data" r="0" i="0">
      <x v="45"/>
    </i>
    <i t="data" r="0" i="0">
      <x v="121"/>
    </i>
    <i t="data" r="0" i="0">
      <x v="90"/>
    </i>
    <i t="data" r="0" i="0">
      <x v="11"/>
    </i>
    <i t="data" r="0" i="0">
      <x v="68"/>
    </i>
    <i t="data" r="0" i="0">
      <x v="109"/>
    </i>
    <i t="data" r="0" i="0">
      <x v="21"/>
    </i>
    <i t="data" r="0" i="0">
      <x v="77"/>
    </i>
    <i t="data" r="0" i="0">
      <x v="46"/>
    </i>
    <i t="data" r="0" i="0">
      <x v="49"/>
    </i>
    <i t="data" r="0" i="0">
      <x v="71"/>
    </i>
    <i t="data" r="0" i="0">
      <x v="108"/>
    </i>
    <i t="data" r="0" i="0">
      <x v="106"/>
    </i>
    <i t="data" r="0" i="0">
      <x v="19"/>
    </i>
    <i t="data" r="0" i="0">
      <x v="105"/>
    </i>
    <i t="data" r="0" i="0">
      <x v="12"/>
    </i>
    <i t="data" r="0" i="0">
      <x v="14"/>
    </i>
    <i t="data" r="0" i="0">
      <x v="42"/>
    </i>
    <i t="data" r="0" i="0">
      <x v="100"/>
    </i>
    <i t="data" r="0" i="0">
      <x v="48"/>
    </i>
    <i t="data" r="0" i="0">
      <x v="35"/>
    </i>
    <i t="data" r="0" i="0">
      <x v="116"/>
    </i>
    <i t="data" r="0" i="0">
      <x v="96"/>
    </i>
    <i t="data" r="0" i="0">
      <x v="27"/>
    </i>
    <i t="data" r="0" i="0">
      <x v="23"/>
    </i>
    <i t="data" r="0" i="0">
      <x v="124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pageFields count="4">
    <pageField fld="5" hier="-1"/>
    <pageField fld="7" hier="-1"/>
    <pageField fld="8" hier="-1"/>
    <pageField fld="20"/>
  </pageFields>
  <dataFields count="3">
    <dataField name="Sum of Quantity" fld="13" subtotal="sum" showDataAs="normal" baseField="0" baseItem="0"/>
    <dataField name="Sum of Total Stock" fld="16" subtotal="sum" showDataAs="normal" baseField="3" baseItem="0" numFmtId="3"/>
    <dataField name="Sum of Value" fld="18" subtotal="sum" showDataAs="normal" baseField="3" baseItem="2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3"/>
  <sheetViews>
    <sheetView tabSelected="1" workbookViewId="0">
      <selection activeCell="F10" sqref="F10"/>
    </sheetView>
  </sheetViews>
  <sheetFormatPr baseColWidth="8" defaultRowHeight="12.75"/>
  <cols>
    <col width="52.7109375" bestFit="1" customWidth="1" style="12" min="1" max="1"/>
    <col width="15.7109375" bestFit="1" customWidth="1" style="12" min="2" max="2"/>
    <col width="18.42578125" bestFit="1" customWidth="1" style="12" min="3" max="3"/>
    <col width="13.42578125" bestFit="1" customWidth="1" style="12" min="4" max="4"/>
    <col width="19.7109375" bestFit="1" customWidth="1" style="12" min="5" max="5"/>
    <col width="15.7109375" bestFit="1" customWidth="1" style="12" min="6" max="6"/>
    <col width="18.42578125" bestFit="1" customWidth="1" style="12" min="7" max="7"/>
    <col width="13.42578125" bestFit="1" customWidth="1" style="12" min="8" max="8"/>
  </cols>
  <sheetData>
    <row r="1">
      <c r="A1" s="8" t="inlineStr">
        <is>
          <t>Description p. group</t>
        </is>
      </c>
      <c r="B1" s="9" t="inlineStr">
        <is>
          <t>(All)</t>
        </is>
      </c>
    </row>
    <row r="2">
      <c r="A2" s="8" t="inlineStr">
        <is>
          <t>Brand Manager Desc</t>
        </is>
      </c>
      <c r="B2" s="9" t="inlineStr">
        <is>
          <t>(All)</t>
        </is>
      </c>
    </row>
    <row r="3">
      <c r="A3" s="8" t="inlineStr">
        <is>
          <t>MRP Area</t>
        </is>
      </c>
      <c r="B3" s="9" t="inlineStr">
        <is>
          <t>(All)</t>
        </is>
      </c>
    </row>
    <row r="5">
      <c r="A5" s="8" t="inlineStr">
        <is>
          <t>Material Group Desc.</t>
        </is>
      </c>
      <c r="B5" s="8" t="inlineStr">
        <is>
          <t>Material</t>
        </is>
      </c>
      <c r="C5" s="8" t="inlineStr">
        <is>
          <t>Material Description</t>
        </is>
      </c>
      <c r="D5" s="8" t="inlineStr">
        <is>
          <t>Batch</t>
        </is>
      </c>
      <c r="E5" s="8" t="inlineStr">
        <is>
          <t>Batch Expiry Date</t>
        </is>
      </c>
      <c r="F5" s="9" t="inlineStr">
        <is>
          <t>Sum of Quantity</t>
        </is>
      </c>
      <c r="G5" s="9" t="inlineStr">
        <is>
          <t>Sum of Total Stock</t>
        </is>
      </c>
      <c r="H5" s="9" t="inlineStr">
        <is>
          <t>Sum of Value</t>
        </is>
      </c>
    </row>
    <row r="6">
      <c r="A6" s="9" t="inlineStr">
        <is>
          <t>RED BARON</t>
        </is>
      </c>
      <c r="F6" s="9" t="n">
        <v>3337</v>
      </c>
      <c r="G6" s="10" t="n">
        <v>6222</v>
      </c>
      <c r="H6" s="11" t="n">
        <v>269560.63</v>
      </c>
    </row>
    <row r="7">
      <c r="A7" s="9" t="inlineStr">
        <is>
          <t>ILCHESTER</t>
        </is>
      </c>
      <c r="F7" s="9" t="n">
        <v>3313</v>
      </c>
      <c r="G7" s="10" t="n">
        <v>4763</v>
      </c>
      <c r="H7" s="11" t="n">
        <v>244290.72</v>
      </c>
    </row>
    <row r="8">
      <c r="A8" s="9" t="inlineStr">
        <is>
          <t>SWEET STREET DESSERT</t>
        </is>
      </c>
      <c r="F8" s="9" t="n">
        <v>1297</v>
      </c>
      <c r="G8" s="10" t="n">
        <v>1323</v>
      </c>
      <c r="H8" s="11" t="n">
        <v>149641.2</v>
      </c>
    </row>
    <row r="9">
      <c r="A9" s="9" t="inlineStr">
        <is>
          <t>SCHAR</t>
        </is>
      </c>
      <c r="F9" s="9" t="n">
        <v>4223</v>
      </c>
      <c r="G9" s="10" t="n">
        <v>11005</v>
      </c>
      <c r="H9" s="11" t="n">
        <v>143192.84</v>
      </c>
    </row>
    <row r="10">
      <c r="A10" s="9" t="inlineStr">
        <is>
          <t>COOMBE C IRISH</t>
        </is>
      </c>
      <c r="F10" s="9" t="n">
        <v>2027</v>
      </c>
      <c r="G10" s="10" t="n">
        <v>3014</v>
      </c>
      <c r="H10" s="11" t="n">
        <v>123869.67</v>
      </c>
    </row>
    <row r="11">
      <c r="A11" s="9" t="inlineStr">
        <is>
          <t>RANA FOOD SERVICE</t>
        </is>
      </c>
      <c r="F11" s="9" t="n">
        <v>2218</v>
      </c>
      <c r="G11" s="10" t="n">
        <v>2268</v>
      </c>
      <c r="H11" s="11" t="n">
        <v>106868.29</v>
      </c>
    </row>
    <row r="12">
      <c r="A12" s="9" t="inlineStr">
        <is>
          <t>COOMBE C BRIT BULK</t>
        </is>
      </c>
      <c r="F12" s="9" t="n">
        <v>1358.999</v>
      </c>
      <c r="G12" s="10" t="n">
        <v>2863.999</v>
      </c>
      <c r="H12" s="11" t="n">
        <v>89732.57999999999</v>
      </c>
    </row>
    <row r="13">
      <c r="A13" s="9" t="inlineStr">
        <is>
          <t>COOMBE C BRIT PPK</t>
        </is>
      </c>
      <c r="F13" s="9" t="n">
        <v>2172</v>
      </c>
      <c r="G13" s="10" t="n">
        <v>3366</v>
      </c>
      <c r="H13" s="11" t="n">
        <v>84195.95</v>
      </c>
    </row>
    <row r="14">
      <c r="A14" s="9" t="inlineStr">
        <is>
          <t>KIKKOMAN RETAIL</t>
        </is>
      </c>
      <c r="F14" s="9" t="n">
        <v>1764</v>
      </c>
      <c r="G14" s="10" t="n">
        <v>2386</v>
      </c>
      <c r="H14" s="11" t="n">
        <v>76779.58</v>
      </c>
    </row>
    <row r="15">
      <c r="A15" s="9" t="inlineStr">
        <is>
          <t>PUTTERS FS</t>
        </is>
      </c>
      <c r="F15" s="9" t="n">
        <v>1588</v>
      </c>
      <c r="G15" s="10" t="n">
        <v>1751</v>
      </c>
      <c r="H15" s="11" t="n">
        <v>48898.21</v>
      </c>
    </row>
    <row r="16">
      <c r="A16" s="9" t="inlineStr">
        <is>
          <t>AGROPUR</t>
        </is>
      </c>
      <c r="F16" s="9" t="n">
        <v>388</v>
      </c>
      <c r="G16" s="10" t="n">
        <v>528</v>
      </c>
      <c r="H16" s="11" t="n">
        <v>43326.42</v>
      </c>
    </row>
    <row r="17">
      <c r="A17" s="9" t="inlineStr">
        <is>
          <t>DEVON CREAM COMPANY</t>
        </is>
      </c>
      <c r="F17" s="9" t="n">
        <v>835</v>
      </c>
      <c r="G17" s="10" t="n">
        <v>926</v>
      </c>
      <c r="H17" s="11" t="n">
        <v>40797.92000000001</v>
      </c>
    </row>
    <row r="18">
      <c r="A18" s="9" t="inlineStr">
        <is>
          <t>NATURA FOODS</t>
        </is>
      </c>
      <c r="F18" s="9" t="n">
        <v>1812</v>
      </c>
      <c r="G18" s="10" t="n">
        <v>2394</v>
      </c>
      <c r="H18" s="11" t="n">
        <v>40308.19</v>
      </c>
    </row>
    <row r="19">
      <c r="A19" s="9" t="inlineStr">
        <is>
          <t>KRONOS</t>
        </is>
      </c>
      <c r="F19" s="9" t="n">
        <v>506</v>
      </c>
      <c r="G19" s="10" t="n">
        <v>650</v>
      </c>
      <c r="H19" s="11" t="n">
        <v>37153.13</v>
      </c>
    </row>
    <row r="20">
      <c r="A20" s="9" t="inlineStr">
        <is>
          <t>RUSTICO DELI</t>
        </is>
      </c>
      <c r="F20" s="9" t="n">
        <v>402</v>
      </c>
      <c r="G20" s="10" t="n">
        <v>447</v>
      </c>
      <c r="H20" s="11" t="n">
        <v>36764.39</v>
      </c>
    </row>
    <row r="21">
      <c r="A21" s="9" t="inlineStr">
        <is>
          <t>HILLSHIRE FARM</t>
        </is>
      </c>
      <c r="F21" s="9" t="n">
        <v>258</v>
      </c>
      <c r="G21" s="10" t="n">
        <v>451</v>
      </c>
      <c r="H21" s="11" t="n">
        <v>33900.52</v>
      </c>
    </row>
    <row r="22">
      <c r="A22" s="9" t="inlineStr">
        <is>
          <t>Auricchio</t>
        </is>
      </c>
      <c r="F22" s="9" t="n">
        <v>537</v>
      </c>
      <c r="G22" s="10" t="n">
        <v>705</v>
      </c>
      <c r="H22" s="11" t="n">
        <v>33533.36</v>
      </c>
    </row>
    <row r="23">
      <c r="A23" s="9" t="inlineStr">
        <is>
          <t>MY COOKING BOX</t>
        </is>
      </c>
      <c r="F23" s="9" t="n">
        <v>881</v>
      </c>
      <c r="G23" s="10" t="n">
        <v>1011</v>
      </c>
      <c r="H23" s="11" t="n">
        <v>28768.34</v>
      </c>
    </row>
    <row r="24">
      <c r="A24" s="9" t="inlineStr">
        <is>
          <t>VEGGIES MADE GREAT</t>
        </is>
      </c>
      <c r="F24" s="9" t="n">
        <v>727</v>
      </c>
      <c r="G24" s="10" t="n">
        <v>1298</v>
      </c>
      <c r="H24" s="11" t="n">
        <v>28267.44</v>
      </c>
    </row>
    <row r="25">
      <c r="A25" s="9" t="inlineStr">
        <is>
          <t>BRICKMANS</t>
        </is>
      </c>
      <c r="F25" s="9" t="n">
        <v>136</v>
      </c>
      <c r="G25" s="10" t="n">
        <v>162</v>
      </c>
      <c r="H25" s="11" t="n">
        <v>25185.12</v>
      </c>
    </row>
    <row r="26">
      <c r="A26" s="9" t="inlineStr">
        <is>
          <t>RANA RETAIL</t>
        </is>
      </c>
      <c r="F26" s="9" t="n">
        <v>1266</v>
      </c>
      <c r="G26" s="10" t="n">
        <v>2033</v>
      </c>
      <c r="H26" s="11" t="n">
        <v>24056.43</v>
      </c>
    </row>
    <row r="27">
      <c r="A27" s="9" t="inlineStr">
        <is>
          <t>UDI'S</t>
        </is>
      </c>
      <c r="F27" s="9" t="n">
        <v>393</v>
      </c>
      <c r="G27" s="10" t="n">
        <v>432</v>
      </c>
      <c r="H27" s="11" t="n">
        <v>23525.22</v>
      </c>
    </row>
    <row r="28">
      <c r="A28" s="9" t="inlineStr">
        <is>
          <t>GARDEIN</t>
        </is>
      </c>
      <c r="F28" s="9" t="n">
        <v>355.8</v>
      </c>
      <c r="G28" s="10" t="n">
        <v>367</v>
      </c>
      <c r="H28" s="11" t="n">
        <v>21730.74</v>
      </c>
    </row>
    <row r="29">
      <c r="A29" s="9" t="inlineStr">
        <is>
          <t>ANGIES ARTISAN TREAT</t>
        </is>
      </c>
      <c r="F29" s="9" t="n">
        <v>630.88</v>
      </c>
      <c r="G29" s="10" t="n">
        <v>885</v>
      </c>
      <c r="H29" s="11" t="n">
        <v>21181.2</v>
      </c>
    </row>
    <row r="30">
      <c r="A30" s="9" t="inlineStr">
        <is>
          <t>SNYDERS-MAINSTREAM</t>
        </is>
      </c>
      <c r="F30" s="9" t="n">
        <v>686</v>
      </c>
      <c r="G30" s="10" t="n">
        <v>1276</v>
      </c>
      <c r="H30" s="11" t="n">
        <v>20488.77</v>
      </c>
    </row>
    <row r="31">
      <c r="A31" s="9" t="inlineStr">
        <is>
          <t>GLUTINO</t>
        </is>
      </c>
      <c r="F31" s="9" t="n">
        <v>232.2</v>
      </c>
      <c r="G31" s="10" t="n">
        <v>272</v>
      </c>
      <c r="H31" s="11" t="n">
        <v>15516.17</v>
      </c>
    </row>
    <row r="32">
      <c r="A32" s="9" t="inlineStr">
        <is>
          <t>ALIMENTIAS SPAIN CHE</t>
        </is>
      </c>
      <c r="F32" s="9" t="n">
        <v>119</v>
      </c>
      <c r="G32" s="10" t="n">
        <v>153</v>
      </c>
      <c r="H32" s="11" t="n">
        <v>14925.81</v>
      </c>
    </row>
    <row r="33">
      <c r="A33" s="9" t="inlineStr">
        <is>
          <t>TYSON</t>
        </is>
      </c>
      <c r="F33" s="9" t="n">
        <v>216</v>
      </c>
      <c r="G33" s="10" t="n">
        <v>428</v>
      </c>
      <c r="H33" s="11" t="n">
        <v>14305.85</v>
      </c>
    </row>
    <row r="34">
      <c r="A34" s="9" t="inlineStr">
        <is>
          <t>SAN BENEDETTO</t>
        </is>
      </c>
      <c r="F34" s="9" t="n">
        <v>1800</v>
      </c>
      <c r="G34" s="10" t="n">
        <v>2642</v>
      </c>
      <c r="H34" s="11" t="n">
        <v>14160.56</v>
      </c>
    </row>
    <row r="35">
      <c r="A35" s="9" t="inlineStr">
        <is>
          <t>FRESCA MEXICAN FOODS</t>
        </is>
      </c>
      <c r="F35" s="9" t="n">
        <v>283</v>
      </c>
      <c r="G35" s="10" t="n">
        <v>306</v>
      </c>
      <c r="H35" s="11" t="n">
        <v>12441.39</v>
      </c>
    </row>
    <row r="36">
      <c r="A36" s="9" t="inlineStr">
        <is>
          <t>CHEESELAND HOLLAND</t>
        </is>
      </c>
      <c r="F36" s="9" t="n">
        <v>131</v>
      </c>
      <c r="G36" s="10" t="n">
        <v>155</v>
      </c>
      <c r="H36" s="11" t="n">
        <v>10604.92</v>
      </c>
    </row>
    <row r="37">
      <c r="A37" s="9" t="inlineStr">
        <is>
          <t>BLUE DIAMOND BEVERAG</t>
        </is>
      </c>
      <c r="F37" s="9" t="n">
        <v>360</v>
      </c>
      <c r="G37" s="10" t="n">
        <v>777</v>
      </c>
      <c r="H37" s="11" t="n">
        <v>9933.950000000001</v>
      </c>
    </row>
    <row r="38">
      <c r="A38" s="9" t="inlineStr">
        <is>
          <t>XO BAKING</t>
        </is>
      </c>
      <c r="F38" s="9" t="n">
        <v>295</v>
      </c>
      <c r="G38" s="10" t="n">
        <v>296</v>
      </c>
      <c r="H38" s="11" t="n">
        <v>9093.27</v>
      </c>
    </row>
    <row r="39">
      <c r="A39" s="9" t="inlineStr">
        <is>
          <t>ROBERTSONS</t>
        </is>
      </c>
      <c r="F39" s="9" t="n">
        <v>761</v>
      </c>
      <c r="G39" s="10" t="n">
        <v>1132</v>
      </c>
      <c r="H39" s="11" t="n">
        <v>9021.619999999999</v>
      </c>
    </row>
    <row r="40">
      <c r="A40" s="9" t="inlineStr">
        <is>
          <t>KROON</t>
        </is>
      </c>
      <c r="F40" s="9" t="n">
        <v>108</v>
      </c>
      <c r="G40" s="10" t="n">
        <v>331</v>
      </c>
      <c r="H40" s="11" t="n">
        <v>8704.119999999999</v>
      </c>
    </row>
    <row r="41">
      <c r="A41" s="9" t="inlineStr">
        <is>
          <t>HEALTHY CHOICE (HC)</t>
        </is>
      </c>
      <c r="F41" s="9" t="n">
        <v>167.8</v>
      </c>
      <c r="G41" s="10" t="n">
        <v>221</v>
      </c>
      <c r="H41" s="11" t="n">
        <v>8391.509999999998</v>
      </c>
    </row>
    <row r="42">
      <c r="A42" s="9" t="inlineStr">
        <is>
          <t>INES ROSALES SAU</t>
        </is>
      </c>
      <c r="F42" s="9" t="n">
        <v>249</v>
      </c>
      <c r="G42" s="10" t="n">
        <v>540</v>
      </c>
      <c r="H42" s="11" t="n">
        <v>8183.31</v>
      </c>
    </row>
    <row r="43">
      <c r="A43" s="9" t="inlineStr">
        <is>
          <t>CLIF BAR</t>
        </is>
      </c>
      <c r="F43" s="9" t="n">
        <v>409</v>
      </c>
      <c r="G43" s="10" t="n">
        <v>594</v>
      </c>
      <c r="H43" s="11" t="n">
        <v>8164.05</v>
      </c>
    </row>
    <row r="44">
      <c r="A44" s="9" t="inlineStr">
        <is>
          <t>CASA ITALIA</t>
        </is>
      </c>
      <c r="F44" s="9" t="n">
        <v>123</v>
      </c>
      <c r="G44" s="10" t="n">
        <v>147</v>
      </c>
      <c r="H44" s="11" t="n">
        <v>8142.5</v>
      </c>
    </row>
    <row r="45">
      <c r="A45" s="9" t="inlineStr">
        <is>
          <t>CAPE COD POTATO CHIP</t>
        </is>
      </c>
      <c r="F45" s="9" t="n">
        <v>227</v>
      </c>
      <c r="G45" s="10" t="n">
        <v>518</v>
      </c>
      <c r="H45" s="11" t="n">
        <v>7953.160000000001</v>
      </c>
    </row>
    <row r="46">
      <c r="A46" s="9" t="inlineStr">
        <is>
          <t>GRECIAN DELIGHT</t>
        </is>
      </c>
      <c r="F46" s="9" t="n">
        <v>93</v>
      </c>
      <c r="G46" s="10" t="n">
        <v>83</v>
      </c>
      <c r="H46" s="11" t="n">
        <v>7109.969999999999</v>
      </c>
    </row>
    <row r="47">
      <c r="A47" s="9" t="inlineStr">
        <is>
          <t>PANERISO</t>
        </is>
      </c>
      <c r="F47" s="9" t="n">
        <v>203</v>
      </c>
      <c r="G47" s="10" t="n">
        <v>279</v>
      </c>
      <c r="H47" s="11" t="n">
        <v>6773.74</v>
      </c>
    </row>
    <row r="48">
      <c r="A48" s="9" t="inlineStr">
        <is>
          <t>SNACK FACTORY</t>
        </is>
      </c>
      <c r="F48" s="9" t="n">
        <v>168</v>
      </c>
      <c r="G48" s="10" t="n">
        <v>410</v>
      </c>
      <c r="H48" s="11" t="n">
        <v>6355.789999999999</v>
      </c>
    </row>
    <row r="49">
      <c r="A49" s="9" t="inlineStr">
        <is>
          <t>JOHN MACYS CHEESESTK</t>
        </is>
      </c>
      <c r="F49" s="9" t="n">
        <v>320</v>
      </c>
      <c r="G49" s="10" t="n">
        <v>381</v>
      </c>
      <c r="H49" s="11" t="n">
        <v>5995.679999999999</v>
      </c>
    </row>
    <row r="50">
      <c r="A50" s="9" t="inlineStr">
        <is>
          <t>KIKKOMAN FOOD SERVIC</t>
        </is>
      </c>
      <c r="F50" s="9" t="n">
        <v>87</v>
      </c>
      <c r="G50" s="10" t="n">
        <v>149</v>
      </c>
      <c r="H50" s="11" t="n">
        <v>5965.54</v>
      </c>
    </row>
    <row r="51">
      <c r="A51" s="9" t="inlineStr">
        <is>
          <t>KINNIKINNICK</t>
        </is>
      </c>
      <c r="F51" s="9" t="n">
        <v>217</v>
      </c>
      <c r="G51" s="10" t="n">
        <v>220</v>
      </c>
      <c r="H51" s="11" t="n">
        <v>5937.490000000001</v>
      </c>
    </row>
    <row r="52">
      <c r="A52" s="9" t="inlineStr">
        <is>
          <t>FEVER TREE</t>
        </is>
      </c>
      <c r="F52" s="9" t="n">
        <v>310</v>
      </c>
      <c r="G52" s="10" t="n">
        <v>535</v>
      </c>
      <c r="H52" s="11" t="n">
        <v>5904.16</v>
      </c>
    </row>
    <row r="53">
      <c r="A53" s="9" t="inlineStr">
        <is>
          <t>COOMBE C COSTCO</t>
        </is>
      </c>
      <c r="F53" s="9" t="n">
        <v>33</v>
      </c>
      <c r="G53" s="10" t="n">
        <v>33</v>
      </c>
      <c r="H53" s="11" t="n">
        <v>5884.23</v>
      </c>
    </row>
    <row r="54">
      <c r="A54" s="9" t="inlineStr">
        <is>
          <t>BOTHWELL CHEESE</t>
        </is>
      </c>
      <c r="F54" s="9" t="n">
        <v>82</v>
      </c>
      <c r="G54" s="10" t="n">
        <v>142</v>
      </c>
      <c r="H54" s="11" t="n">
        <v>5826.53</v>
      </c>
    </row>
    <row r="55">
      <c r="A55" s="9" t="inlineStr">
        <is>
          <t>SNACK PACK</t>
        </is>
      </c>
      <c r="F55" s="9" t="n">
        <v>183</v>
      </c>
      <c r="G55" s="10" t="n">
        <v>216</v>
      </c>
      <c r="H55" s="11" t="n">
        <v>5665.7</v>
      </c>
    </row>
    <row r="56">
      <c r="A56" s="9" t="inlineStr">
        <is>
          <t>LEONCINI</t>
        </is>
      </c>
      <c r="F56" s="9" t="n">
        <v>50</v>
      </c>
      <c r="G56" s="10" t="n">
        <v>51</v>
      </c>
      <c r="H56" s="11" t="n">
        <v>5566.92</v>
      </c>
    </row>
    <row r="57">
      <c r="A57" s="9" t="inlineStr">
        <is>
          <t>ACT II</t>
        </is>
      </c>
      <c r="F57" s="9" t="n">
        <v>90</v>
      </c>
      <c r="G57" s="10" t="n">
        <v>90</v>
      </c>
      <c r="H57" s="11" t="n">
        <v>5356.35</v>
      </c>
    </row>
    <row r="58">
      <c r="A58" s="9" t="inlineStr">
        <is>
          <t>BALCONI</t>
        </is>
      </c>
      <c r="F58" s="9" t="n">
        <v>165</v>
      </c>
      <c r="G58" s="10" t="n">
        <v>196</v>
      </c>
      <c r="H58" s="11" t="n">
        <v>5098.5</v>
      </c>
    </row>
    <row r="59">
      <c r="A59" s="9" t="inlineStr">
        <is>
          <t>BEL BOURSIN</t>
        </is>
      </c>
      <c r="F59" s="9" t="n">
        <v>119</v>
      </c>
      <c r="G59" s="10" t="n">
        <v>277</v>
      </c>
      <c r="H59" s="11" t="n">
        <v>5061.05</v>
      </c>
    </row>
    <row r="60">
      <c r="A60" s="9" t="inlineStr">
        <is>
          <t>COWS CREAMERY</t>
        </is>
      </c>
      <c r="F60" s="9" t="n">
        <v>19</v>
      </c>
      <c r="G60" s="10" t="n">
        <v>22</v>
      </c>
      <c r="H60" s="11" t="n">
        <v>4952.860000000001</v>
      </c>
    </row>
    <row r="61">
      <c r="A61" s="9" t="inlineStr">
        <is>
          <t>POGO</t>
        </is>
      </c>
      <c r="F61" s="9" t="n">
        <v>61.8</v>
      </c>
      <c r="G61" s="10" t="n">
        <v>111</v>
      </c>
      <c r="H61" s="11" t="n">
        <v>4902.43</v>
      </c>
    </row>
    <row r="62">
      <c r="A62" s="9" t="inlineStr">
        <is>
          <t>BARBER</t>
        </is>
      </c>
      <c r="F62" s="9" t="n">
        <v>100</v>
      </c>
      <c r="G62" s="10" t="n">
        <v>296</v>
      </c>
      <c r="H62" s="11" t="n">
        <v>4744.01</v>
      </c>
    </row>
    <row r="63">
      <c r="A63" s="9" t="inlineStr">
        <is>
          <t>BOBS RED MILL</t>
        </is>
      </c>
      <c r="F63" s="9" t="n">
        <v>282</v>
      </c>
      <c r="G63" s="10" t="n">
        <v>533</v>
      </c>
      <c r="H63" s="11" t="n">
        <v>4704.259999999999</v>
      </c>
    </row>
    <row r="64">
      <c r="A64" s="9" t="inlineStr">
        <is>
          <t>ARBYS MARZETTI</t>
        </is>
      </c>
      <c r="F64" s="9" t="n">
        <v>88</v>
      </c>
      <c r="G64" s="10" t="n">
        <v>325</v>
      </c>
      <c r="H64" s="11" t="n">
        <v>4529.91</v>
      </c>
    </row>
    <row r="65">
      <c r="A65" s="9" t="inlineStr">
        <is>
          <t>TRE MARIE</t>
        </is>
      </c>
      <c r="F65" s="9" t="n">
        <v>59</v>
      </c>
      <c r="G65" s="10" t="n">
        <v>98</v>
      </c>
      <c r="H65" s="11" t="n">
        <v>4359.25</v>
      </c>
    </row>
    <row r="66">
      <c r="A66" s="9" t="inlineStr">
        <is>
          <t>NUPASTA INC.</t>
        </is>
      </c>
      <c r="F66" s="9" t="n">
        <v>293</v>
      </c>
      <c r="G66" s="10" t="n">
        <v>708</v>
      </c>
      <c r="H66" s="11" t="n">
        <v>3870.68</v>
      </c>
    </row>
    <row r="67">
      <c r="A67" s="9" t="inlineStr">
        <is>
          <t>DEVANCO FOODS</t>
        </is>
      </c>
      <c r="F67" s="9" t="n">
        <v>39</v>
      </c>
      <c r="G67" s="10" t="n">
        <v>48</v>
      </c>
      <c r="H67" s="11" t="n">
        <v>3775.2</v>
      </c>
    </row>
    <row r="68">
      <c r="A68" s="9" t="inlineStr">
        <is>
          <t>COOMBE C SEASONAL</t>
        </is>
      </c>
      <c r="F68" s="9" t="n">
        <v>131</v>
      </c>
      <c r="G68" s="10" t="n">
        <v>138</v>
      </c>
      <c r="H68" s="11" t="n">
        <v>3770.18</v>
      </c>
    </row>
    <row r="69">
      <c r="A69" s="9" t="inlineStr">
        <is>
          <t>PACIFIC FOODS</t>
        </is>
      </c>
      <c r="F69" s="9" t="n">
        <v>66</v>
      </c>
      <c r="G69" s="10" t="n">
        <v>104</v>
      </c>
      <c r="H69" s="11" t="n">
        <v>3602.599999999999</v>
      </c>
    </row>
    <row r="70">
      <c r="A70" s="9" t="inlineStr">
        <is>
          <t>PAESE MIO</t>
        </is>
      </c>
      <c r="F70" s="9" t="n">
        <v>49</v>
      </c>
      <c r="G70" s="10" t="n">
        <v>282</v>
      </c>
      <c r="H70" s="11" t="n">
        <v>3485.17</v>
      </c>
    </row>
    <row r="71">
      <c r="A71" s="9" t="inlineStr">
        <is>
          <t>JONDAY</t>
        </is>
      </c>
      <c r="F71" s="9" t="n">
        <v>79</v>
      </c>
      <c r="G71" s="10" t="n">
        <v>216</v>
      </c>
      <c r="H71" s="11" t="n">
        <v>3355.94</v>
      </c>
    </row>
    <row r="72">
      <c r="A72" s="9" t="inlineStr">
        <is>
          <t>HAIN CELESTIL SEASON</t>
        </is>
      </c>
      <c r="F72" s="9" t="n">
        <v>151</v>
      </c>
      <c r="G72" s="10" t="n">
        <v>182</v>
      </c>
      <c r="H72" s="11" t="n">
        <v>3160.52</v>
      </c>
    </row>
    <row r="73">
      <c r="A73" s="9" t="inlineStr">
        <is>
          <t>KETTLE CHIPS</t>
        </is>
      </c>
      <c r="F73" s="9" t="n">
        <v>100</v>
      </c>
      <c r="G73" s="10" t="n">
        <v>113</v>
      </c>
      <c r="H73" s="11" t="n">
        <v>2889.91</v>
      </c>
    </row>
    <row r="74">
      <c r="A74" s="9" t="inlineStr">
        <is>
          <t>JARRITOS</t>
        </is>
      </c>
      <c r="F74" s="9" t="n">
        <v>105</v>
      </c>
      <c r="G74" s="10" t="n">
        <v>158</v>
      </c>
      <c r="H74" s="11" t="n">
        <v>2753.17</v>
      </c>
    </row>
    <row r="75">
      <c r="A75" s="9" t="inlineStr">
        <is>
          <t>GREEN &amp; BLACKS</t>
        </is>
      </c>
      <c r="F75" s="9" t="n">
        <v>11054</v>
      </c>
      <c r="G75" s="10" t="n">
        <v>11073</v>
      </c>
      <c r="H75" s="11" t="n">
        <v>2728.34</v>
      </c>
    </row>
    <row r="76">
      <c r="A76" s="9" t="inlineStr">
        <is>
          <t>ROTEL (RTL)</t>
        </is>
      </c>
      <c r="F76" s="9" t="n">
        <v>94</v>
      </c>
      <c r="G76" s="10" t="n">
        <v>95</v>
      </c>
      <c r="H76" s="11" t="n">
        <v>2707.2</v>
      </c>
    </row>
    <row r="77">
      <c r="A77" s="9" t="inlineStr">
        <is>
          <t>LUNDBERG RICE</t>
        </is>
      </c>
      <c r="F77" s="9" t="n">
        <v>96</v>
      </c>
      <c r="G77" s="10" t="n">
        <v>174</v>
      </c>
      <c r="H77" s="11" t="n">
        <v>2619.24</v>
      </c>
    </row>
    <row r="78">
      <c r="A78" s="9" t="inlineStr">
        <is>
          <t>ZAVIDA</t>
        </is>
      </c>
      <c r="F78" s="9" t="n">
        <v>47</v>
      </c>
      <c r="G78" s="10" t="n">
        <v>59</v>
      </c>
      <c r="H78" s="11" t="n">
        <v>2498.83</v>
      </c>
    </row>
    <row r="79">
      <c r="A79" s="9" t="inlineStr">
        <is>
          <t>DUNCAN HINES</t>
        </is>
      </c>
      <c r="F79" s="9" t="n">
        <v>40</v>
      </c>
      <c r="G79" s="10" t="n">
        <v>40</v>
      </c>
      <c r="H79" s="11" t="n">
        <v>2457.6</v>
      </c>
    </row>
    <row r="80">
      <c r="A80" s="9" t="inlineStr">
        <is>
          <t>ARBYS GSF</t>
        </is>
      </c>
      <c r="F80" s="9" t="n">
        <v>39</v>
      </c>
      <c r="G80" s="10" t="n">
        <v>177</v>
      </c>
      <c r="H80" s="11" t="n">
        <v>2380.68</v>
      </c>
    </row>
    <row r="81">
      <c r="A81" s="9" t="inlineStr">
        <is>
          <t>SHARWOODS</t>
        </is>
      </c>
      <c r="F81" s="9" t="n">
        <v>11035</v>
      </c>
      <c r="G81" s="10" t="n">
        <v>14371</v>
      </c>
      <c r="H81" s="11" t="n">
        <v>1820.54</v>
      </c>
    </row>
    <row r="82">
      <c r="A82" s="9" t="inlineStr">
        <is>
          <t>JOY CONE COMPANY</t>
        </is>
      </c>
      <c r="F82" s="9" t="n">
        <v>52</v>
      </c>
      <c r="G82" s="10" t="n">
        <v>57</v>
      </c>
      <c r="H82" s="11" t="n">
        <v>1800.42</v>
      </c>
    </row>
    <row r="83">
      <c r="A83" s="9" t="inlineStr">
        <is>
          <t>BONOMI</t>
        </is>
      </c>
      <c r="F83" s="9" t="n">
        <v>57</v>
      </c>
      <c r="G83" s="10" t="n">
        <v>65</v>
      </c>
      <c r="H83" s="11" t="n">
        <v>1772.13</v>
      </c>
    </row>
    <row r="84">
      <c r="A84" s="9" t="inlineStr">
        <is>
          <t>ORIGINAL PHILLY</t>
        </is>
      </c>
      <c r="F84" s="9" t="n">
        <v>22</v>
      </c>
      <c r="G84" s="10" t="n">
        <v>36</v>
      </c>
      <c r="H84" s="11" t="n">
        <v>1738.08</v>
      </c>
    </row>
    <row r="85">
      <c r="A85" s="9" t="inlineStr">
        <is>
          <t>VITALE</t>
        </is>
      </c>
      <c r="F85" s="9" t="n">
        <v>52</v>
      </c>
      <c r="G85" s="10" t="n">
        <v>72</v>
      </c>
      <c r="H85" s="11" t="n">
        <v>1716.88</v>
      </c>
    </row>
    <row r="86">
      <c r="A86" s="9" t="inlineStr">
        <is>
          <t>TUTTI GOURMET</t>
        </is>
      </c>
      <c r="F86" s="9" t="n">
        <v>57</v>
      </c>
      <c r="G86" s="10" t="n">
        <v>86</v>
      </c>
      <c r="H86" s="11" t="n">
        <v>1660.45</v>
      </c>
    </row>
    <row r="87">
      <c r="A87" s="9" t="inlineStr">
        <is>
          <t>RUSTIC BAKERY</t>
        </is>
      </c>
      <c r="F87" s="9" t="n">
        <v>27</v>
      </c>
      <c r="G87" s="10" t="n">
        <v>28</v>
      </c>
      <c r="H87" s="11" t="n">
        <v>1632.81</v>
      </c>
    </row>
    <row r="88">
      <c r="A88" s="9" t="inlineStr">
        <is>
          <t>CRUNCHMASTER</t>
        </is>
      </c>
      <c r="F88" s="9" t="n">
        <v>39</v>
      </c>
      <c r="G88" s="10" t="n">
        <v>74</v>
      </c>
      <c r="H88" s="11" t="n">
        <v>1629.68</v>
      </c>
    </row>
    <row r="89">
      <c r="A89" s="9" t="inlineStr">
        <is>
          <t>TATE'S BAKE SHOP</t>
        </is>
      </c>
      <c r="F89" s="9" t="n">
        <v>28</v>
      </c>
      <c r="G89" s="10" t="n">
        <v>190</v>
      </c>
      <c r="H89" s="11" t="n">
        <v>1539.78</v>
      </c>
    </row>
    <row r="90">
      <c r="A90" s="9" t="inlineStr">
        <is>
          <t>MORINAGA NUTRITIONAL</t>
        </is>
      </c>
      <c r="F90" s="9" t="n">
        <v>58</v>
      </c>
      <c r="G90" s="10" t="n">
        <v>630</v>
      </c>
      <c r="H90" s="11" t="n">
        <v>1399.3</v>
      </c>
    </row>
    <row r="91">
      <c r="A91" s="9" t="inlineStr">
        <is>
          <t>JIMMY DEAN SAUSAGE</t>
        </is>
      </c>
      <c r="F91" s="9" t="n">
        <v>39</v>
      </c>
      <c r="G91" s="10" t="n">
        <v>39</v>
      </c>
      <c r="H91" s="11" t="n">
        <v>1395.81</v>
      </c>
    </row>
    <row r="92">
      <c r="A92" s="9" t="inlineStr">
        <is>
          <t>PARMELA CREAMERY</t>
        </is>
      </c>
      <c r="F92" s="9" t="n">
        <v>43</v>
      </c>
      <c r="G92" s="10" t="n">
        <v>62</v>
      </c>
      <c r="H92" s="11" t="n">
        <v>1293.44</v>
      </c>
    </row>
    <row r="93">
      <c r="A93" s="9" t="inlineStr">
        <is>
          <t>BEL MINI BABYBEL</t>
        </is>
      </c>
      <c r="F93" s="9" t="n">
        <v>25</v>
      </c>
      <c r="G93" s="10" t="n">
        <v>66</v>
      </c>
      <c r="H93" s="11" t="n">
        <v>1269.73</v>
      </c>
    </row>
    <row r="94">
      <c r="A94" s="9" t="inlineStr">
        <is>
          <t>MCVITIES</t>
        </is>
      </c>
      <c r="F94" s="9" t="n">
        <v>1513</v>
      </c>
      <c r="G94" s="10" t="n">
        <v>1522</v>
      </c>
      <c r="H94" s="11" t="n">
        <v>1045.28</v>
      </c>
    </row>
    <row r="95">
      <c r="A95" s="9" t="inlineStr">
        <is>
          <t>LA TORTILLA</t>
        </is>
      </c>
      <c r="F95" s="9" t="n">
        <v>37</v>
      </c>
      <c r="G95" s="10" t="n">
        <v>97</v>
      </c>
      <c r="H95" s="11" t="n">
        <v>1027.12</v>
      </c>
    </row>
    <row r="96">
      <c r="A96" s="9" t="inlineStr">
        <is>
          <t>C2O COCONUT WATER</t>
        </is>
      </c>
      <c r="F96" s="9" t="n">
        <v>54</v>
      </c>
      <c r="G96" s="10" t="n">
        <v>177</v>
      </c>
      <c r="H96" s="11" t="n">
        <v>932.3099999999999</v>
      </c>
    </row>
    <row r="97">
      <c r="A97" s="9" t="inlineStr">
        <is>
          <t>PRESERVATORY</t>
        </is>
      </c>
      <c r="F97" s="9" t="n">
        <v>17</v>
      </c>
      <c r="G97" s="10" t="n">
        <v>21</v>
      </c>
      <c r="H97" s="11" t="n">
        <v>920.38</v>
      </c>
    </row>
    <row r="98">
      <c r="A98" s="9" t="inlineStr">
        <is>
          <t>CERES JUICES</t>
        </is>
      </c>
      <c r="F98" s="9" t="n">
        <v>33</v>
      </c>
      <c r="G98" s="10" t="n">
        <v>25</v>
      </c>
      <c r="H98" s="11" t="n">
        <v>879.65</v>
      </c>
    </row>
    <row r="99">
      <c r="A99" s="9" t="inlineStr">
        <is>
          <t>ETHICAL BEAN COFFEE</t>
        </is>
      </c>
      <c r="F99" s="9" t="n">
        <v>16</v>
      </c>
      <c r="G99" s="10" t="n">
        <v>9</v>
      </c>
      <c r="H99" s="11" t="n">
        <v>847.2</v>
      </c>
    </row>
    <row r="100">
      <c r="A100" s="9" t="inlineStr">
        <is>
          <t>STONETOWN ARTISAN CH</t>
        </is>
      </c>
      <c r="F100" s="9" t="n">
        <v>13</v>
      </c>
      <c r="G100" s="10" t="n">
        <v>26</v>
      </c>
      <c r="H100" s="11" t="n">
        <v>814.7</v>
      </c>
    </row>
    <row r="101">
      <c r="A101" s="9" t="inlineStr">
        <is>
          <t>PUTTERS RETAIL</t>
        </is>
      </c>
      <c r="F101" s="9" t="n">
        <v>17</v>
      </c>
      <c r="G101" s="10" t="n">
        <v>33</v>
      </c>
      <c r="H101" s="11" t="n">
        <v>811.75</v>
      </c>
    </row>
    <row r="102">
      <c r="A102" s="9" t="inlineStr">
        <is>
          <t>THAI KITCHEN</t>
        </is>
      </c>
      <c r="F102" s="9" t="n">
        <v>4136</v>
      </c>
      <c r="G102" s="10" t="n">
        <v>4136</v>
      </c>
      <c r="H102" s="11" t="n">
        <v>797.8299999999999</v>
      </c>
    </row>
    <row r="103">
      <c r="A103" s="9" t="inlineStr">
        <is>
          <t>SNAK KING INC</t>
        </is>
      </c>
      <c r="F103" s="9" t="n">
        <v>23</v>
      </c>
      <c r="G103" s="10" t="n">
        <v>124</v>
      </c>
      <c r="H103" s="11" t="n">
        <v>792.35</v>
      </c>
    </row>
    <row r="104">
      <c r="A104" s="9" t="inlineStr">
        <is>
          <t>WALKERS</t>
        </is>
      </c>
      <c r="F104" s="9" t="n">
        <v>13</v>
      </c>
      <c r="G104" s="10" t="n">
        <v>39</v>
      </c>
      <c r="H104" s="11" t="n">
        <v>769.39</v>
      </c>
    </row>
    <row r="105">
      <c r="A105" s="9" t="inlineStr">
        <is>
          <t>THE SPICE TAILOR</t>
        </is>
      </c>
      <c r="F105" s="9" t="n">
        <v>45</v>
      </c>
      <c r="G105" s="10" t="n">
        <v>191</v>
      </c>
      <c r="H105" s="11" t="n">
        <v>737.3800000000001</v>
      </c>
    </row>
    <row r="106">
      <c r="A106" s="9" t="inlineStr">
        <is>
          <t>SUSHI CHEF</t>
        </is>
      </c>
      <c r="F106" s="9" t="n">
        <v>31</v>
      </c>
      <c r="G106" s="10" t="n">
        <v>58</v>
      </c>
      <c r="H106" s="11" t="n">
        <v>725.74</v>
      </c>
    </row>
    <row r="107">
      <c r="A107" s="9" t="inlineStr">
        <is>
          <t>GH CRETORS</t>
        </is>
      </c>
      <c r="F107" s="9" t="n">
        <v>16</v>
      </c>
      <c r="G107" s="10" t="n">
        <v>34</v>
      </c>
      <c r="H107" s="11" t="n">
        <v>717.4400000000001</v>
      </c>
    </row>
    <row r="108">
      <c r="A108" s="9" t="inlineStr">
        <is>
          <t>VERGEER PREPACKAGED</t>
        </is>
      </c>
      <c r="F108" s="9" t="n">
        <v>17</v>
      </c>
      <c r="G108" s="10" t="n">
        <v>174</v>
      </c>
      <c r="H108" s="11" t="n">
        <v>660.28</v>
      </c>
    </row>
    <row r="109">
      <c r="A109" s="9" t="inlineStr">
        <is>
          <t>RECLA</t>
        </is>
      </c>
      <c r="F109" s="9" t="n">
        <v>5</v>
      </c>
      <c r="G109" s="10" t="n">
        <v>5</v>
      </c>
      <c r="H109" s="11" t="n">
        <v>546.84</v>
      </c>
    </row>
    <row r="110">
      <c r="A110" s="9" t="inlineStr">
        <is>
          <t>BEL THE LAUGHING COW</t>
        </is>
      </c>
      <c r="F110" s="9" t="n">
        <v>10</v>
      </c>
      <c r="G110" s="10" t="n">
        <v>13</v>
      </c>
      <c r="H110" s="11" t="n">
        <v>474.21</v>
      </c>
    </row>
    <row r="111">
      <c r="A111" s="9" t="inlineStr">
        <is>
          <t>LA COSTENA</t>
        </is>
      </c>
      <c r="F111" s="9" t="n">
        <v>14</v>
      </c>
      <c r="G111" s="10" t="n">
        <v>14</v>
      </c>
      <c r="H111" s="11" t="n">
        <v>450.1799999999999</v>
      </c>
    </row>
    <row r="112">
      <c r="A112" s="9" t="inlineStr">
        <is>
          <t>SUN TROPICS INC.</t>
        </is>
      </c>
      <c r="F112" s="9" t="n">
        <v>27</v>
      </c>
      <c r="G112" s="10" t="n">
        <v>30</v>
      </c>
      <c r="H112" s="11" t="n">
        <v>400.41</v>
      </c>
    </row>
    <row r="113">
      <c r="A113" s="9" t="inlineStr">
        <is>
          <t>CALLIPO</t>
        </is>
      </c>
      <c r="F113" s="9" t="n">
        <v>12</v>
      </c>
      <c r="G113" s="10" t="n">
        <v>12</v>
      </c>
      <c r="H113" s="11" t="n">
        <v>371.74</v>
      </c>
    </row>
    <row r="114">
      <c r="A114" s="9" t="inlineStr">
        <is>
          <t>NATURES NUT</t>
        </is>
      </c>
      <c r="F114" s="9" t="n">
        <v>11</v>
      </c>
      <c r="G114" s="10" t="n">
        <v>76</v>
      </c>
      <c r="H114" s="11" t="n">
        <v>351.89</v>
      </c>
    </row>
    <row r="115">
      <c r="A115" s="9" t="inlineStr">
        <is>
          <t>GIMME SEAWEED SNACKS</t>
        </is>
      </c>
      <c r="F115" s="9" t="n">
        <v>8</v>
      </c>
      <c r="G115" s="10" t="n">
        <v>17</v>
      </c>
      <c r="H115" s="11" t="n">
        <v>348.8</v>
      </c>
    </row>
    <row r="116">
      <c r="A116" s="9" t="inlineStr">
        <is>
          <t>GREAT LAKES GOAT DAI</t>
        </is>
      </c>
      <c r="F116" s="9" t="n">
        <v>6</v>
      </c>
      <c r="G116" s="10" t="n">
        <v>10</v>
      </c>
      <c r="H116" s="11" t="n">
        <v>317.82</v>
      </c>
    </row>
    <row r="117">
      <c r="A117" s="9" t="inlineStr">
        <is>
          <t>LIVIVA</t>
        </is>
      </c>
      <c r="F117" s="9" t="n">
        <v>12</v>
      </c>
      <c r="G117" s="10" t="n">
        <v>12</v>
      </c>
      <c r="H117" s="11" t="n">
        <v>247.14</v>
      </c>
    </row>
    <row r="118">
      <c r="A118" s="9" t="inlineStr">
        <is>
          <t>STUBBS LEGEND</t>
        </is>
      </c>
      <c r="F118" s="9" t="n">
        <v>4</v>
      </c>
      <c r="G118" s="10" t="n">
        <v>4</v>
      </c>
      <c r="H118" s="11" t="n">
        <v>143.3</v>
      </c>
    </row>
    <row r="119">
      <c r="A119" s="9" t="inlineStr">
        <is>
          <t>STEAKHOUSE PUMPKIN</t>
        </is>
      </c>
      <c r="F119" s="9" t="n">
        <v>2</v>
      </c>
      <c r="G119" s="10" t="n">
        <v>35</v>
      </c>
      <c r="H119" s="11" t="n">
        <v>138.38</v>
      </c>
    </row>
    <row r="120">
      <c r="A120" s="9" t="inlineStr">
        <is>
          <t>BROTHER SPROUT</t>
        </is>
      </c>
      <c r="F120" s="9" t="n">
        <v>2</v>
      </c>
      <c r="G120" s="10" t="n">
        <v>12</v>
      </c>
      <c r="H120" s="11" t="n">
        <v>122.28</v>
      </c>
    </row>
    <row r="121">
      <c r="A121" s="9" t="inlineStr">
        <is>
          <t>SPICE WORLD</t>
        </is>
      </c>
      <c r="F121" s="9" t="n">
        <v>2</v>
      </c>
      <c r="G121" s="10" t="n">
        <v>2</v>
      </c>
      <c r="H121" s="11" t="n">
        <v>118.46</v>
      </c>
    </row>
    <row r="122">
      <c r="A122" s="9" t="inlineStr">
        <is>
          <t>BELLA CAS ALBER LEAP</t>
        </is>
      </c>
      <c r="F122" s="9" t="n">
        <v>3</v>
      </c>
      <c r="G122" s="10" t="n">
        <v>3</v>
      </c>
      <c r="H122" s="11" t="n">
        <v>111.19</v>
      </c>
    </row>
    <row r="123">
      <c r="A123" s="9" t="inlineStr">
        <is>
          <t>BLUE DIAMOND DRY</t>
        </is>
      </c>
      <c r="F123" s="9" t="n">
        <v>2</v>
      </c>
      <c r="G123" s="10" t="n">
        <v>92</v>
      </c>
      <c r="H123" s="11" t="n">
        <v>86.09999999999999</v>
      </c>
    </row>
    <row r="124">
      <c r="A124" s="9" t="inlineStr">
        <is>
          <t>FLOURISH</t>
        </is>
      </c>
      <c r="F124" s="9" t="n">
        <v>3</v>
      </c>
      <c r="G124" s="10" t="n">
        <v>3</v>
      </c>
      <c r="H124" s="11" t="n">
        <v>70.17</v>
      </c>
    </row>
    <row r="125">
      <c r="A125" s="9" t="inlineStr">
        <is>
          <t>SIMPLY DESSERTS</t>
        </is>
      </c>
      <c r="F125" s="9" t="n">
        <v>7</v>
      </c>
      <c r="G125" s="10" t="n">
        <v>7</v>
      </c>
      <c r="H125" s="11" t="n">
        <v>68.25</v>
      </c>
    </row>
    <row r="126">
      <c r="A126" s="9" t="inlineStr">
        <is>
          <t>GOVERDEN US INC</t>
        </is>
      </c>
      <c r="F126" s="9" t="n">
        <v>1</v>
      </c>
      <c r="G126" s="10" t="n">
        <v>1</v>
      </c>
      <c r="H126" s="11" t="n">
        <v>56.61</v>
      </c>
    </row>
    <row r="127">
      <c r="A127" s="9" t="inlineStr">
        <is>
          <t>CRODO</t>
        </is>
      </c>
      <c r="F127" s="9" t="n">
        <v>3</v>
      </c>
      <c r="G127" s="10" t="n">
        <v>3</v>
      </c>
      <c r="H127" s="11" t="n">
        <v>56.28</v>
      </c>
    </row>
    <row r="128">
      <c r="A128" s="9" t="inlineStr">
        <is>
          <t>TROPIC ISLE COCO FS</t>
        </is>
      </c>
      <c r="F128" s="9" t="n">
        <v>1</v>
      </c>
      <c r="G128" s="10" t="n">
        <v>1</v>
      </c>
      <c r="H128" s="11" t="n">
        <v>53.2</v>
      </c>
    </row>
    <row r="129">
      <c r="A129" s="9" t="inlineStr">
        <is>
          <t>SABANA</t>
        </is>
      </c>
      <c r="F129" s="9" t="n">
        <v>1</v>
      </c>
      <c r="G129" s="10" t="n">
        <v>4</v>
      </c>
      <c r="H129" s="11" t="n">
        <v>40.28</v>
      </c>
    </row>
    <row r="130">
      <c r="A130" s="9" t="inlineStr">
        <is>
          <t>CHOLULA</t>
        </is>
      </c>
      <c r="F130" s="9" t="n">
        <v>1</v>
      </c>
      <c r="G130" s="10" t="n">
        <v>1</v>
      </c>
      <c r="H130" s="11" t="n">
        <v>32.45</v>
      </c>
    </row>
    <row r="131">
      <c r="A131" s="9" t="inlineStr">
        <is>
          <t>CARRS</t>
        </is>
      </c>
      <c r="F131" s="9" t="n">
        <v>40</v>
      </c>
      <c r="G131" s="10" t="n">
        <v>40</v>
      </c>
      <c r="H131" s="11" t="n">
        <v>0</v>
      </c>
    </row>
    <row r="132">
      <c r="A132" s="9" t="inlineStr">
        <is>
          <t>WESTKEY GRAPHICS LTD</t>
        </is>
      </c>
      <c r="F132" s="9" t="n">
        <v>2992</v>
      </c>
      <c r="G132" s="10" t="n">
        <v>2992</v>
      </c>
      <c r="H132" s="11" t="n">
        <v>0</v>
      </c>
    </row>
    <row r="133">
      <c r="A133" s="9" t="inlineStr">
        <is>
          <t>Grand Total</t>
        </is>
      </c>
      <c r="F133" s="9" t="n">
        <v>74389.47900000001</v>
      </c>
      <c r="G133" s="10" t="n">
        <v>104883.999</v>
      </c>
      <c r="H133" s="11" t="n">
        <v>2150062.51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:T857"/>
    </sheetView>
  </sheetViews>
  <sheetFormatPr baseColWidth="8" defaultRowHeight="12.75"/>
  <cols>
    <col width="10" bestFit="1" customWidth="1" style="12" min="1" max="1"/>
    <col width="42" bestFit="1" customWidth="1" style="12" min="2" max="2"/>
    <col width="6" bestFit="1" customWidth="1" style="12" min="3" max="3"/>
    <col width="22" bestFit="1" customWidth="1" style="12" min="4" max="4"/>
    <col width="12" bestFit="1" customWidth="1" style="12" min="5" max="5"/>
    <col width="22" bestFit="1" customWidth="1" style="12" min="6" max="6"/>
    <col width="10" bestFit="1" customWidth="1" style="12" min="7" max="7"/>
    <col width="23" bestFit="1" customWidth="1" style="12" min="8" max="8"/>
    <col width="10" bestFit="1" customWidth="1" style="12" min="9" max="9"/>
    <col width="12" bestFit="1" customWidth="1" style="12" min="10" max="10"/>
    <col width="13" bestFit="1" customWidth="1" style="12" min="11" max="11"/>
    <col width="19" bestFit="1" customWidth="1" style="12" min="12" max="12"/>
    <col width="20" bestFit="1" customWidth="1" style="12" min="13" max="13"/>
    <col width="10" bestFit="1" customWidth="1" style="12" min="14" max="14"/>
    <col width="13" bestFit="1" customWidth="1" style="12" min="15" max="15"/>
    <col width="14" bestFit="1" customWidth="1" style="12" min="16" max="16"/>
    <col width="13" bestFit="1" customWidth="1" style="12" min="17" max="17"/>
    <col width="14" bestFit="1" customWidth="1" style="12" min="18" max="18"/>
    <col width="10" bestFit="1" customWidth="1" style="12" min="19" max="19"/>
    <col width="15" bestFit="1" customWidth="1" style="12" min="20" max="20"/>
  </cols>
  <sheetData>
    <row r="1" ht="38.25" customHeight="1" s="12">
      <c r="A1" s="1" t="inlineStr">
        <is>
          <t>Material</t>
        </is>
      </c>
      <c r="B1" s="1" t="inlineStr">
        <is>
          <t>Material Description</t>
        </is>
      </c>
      <c r="C1" s="7" t="inlineStr">
        <is>
          <t>Material Group</t>
        </is>
      </c>
      <c r="D1" s="1" t="inlineStr">
        <is>
          <t>Material Group Desc.</t>
        </is>
      </c>
      <c r="E1" s="7" t="inlineStr">
        <is>
          <t>Purchasing Group</t>
        </is>
      </c>
      <c r="F1" s="1" t="inlineStr">
        <is>
          <t>Description p. group</t>
        </is>
      </c>
      <c r="G1" s="7" t="inlineStr">
        <is>
          <t>Brand Manager</t>
        </is>
      </c>
      <c r="H1" s="1" t="inlineStr">
        <is>
          <t>Brand Manager Desc</t>
        </is>
      </c>
      <c r="I1" s="1" t="inlineStr">
        <is>
          <t>MRP Area</t>
        </is>
      </c>
      <c r="J1" s="1" t="inlineStr">
        <is>
          <t>Batch</t>
        </is>
      </c>
      <c r="K1" s="7" t="inlineStr">
        <is>
          <t>SLED Offset in days</t>
        </is>
      </c>
      <c r="L1" s="1" t="inlineStr">
        <is>
          <t>Batch Expiry Date</t>
        </is>
      </c>
      <c r="M1" s="1" t="inlineStr">
        <is>
          <t>MRP Last Sell Date</t>
        </is>
      </c>
      <c r="N1" s="1" t="inlineStr">
        <is>
          <t>Quantity</t>
        </is>
      </c>
      <c r="O1" s="7" t="inlineStr">
        <is>
          <t>Base Unit of Measure</t>
        </is>
      </c>
      <c r="P1" s="1" t="inlineStr">
        <is>
          <t>Qty Val. UoM</t>
        </is>
      </c>
      <c r="Q1" s="1" t="inlineStr">
        <is>
          <t>Total Stock</t>
        </is>
      </c>
      <c r="R1" s="1" t="inlineStr">
        <is>
          <t>Moving price</t>
        </is>
      </c>
      <c r="S1" s="1" t="inlineStr">
        <is>
          <t>Value</t>
        </is>
      </c>
      <c r="T1" s="1" t="inlineStr">
        <is>
          <t>Batch Comment</t>
        </is>
      </c>
      <c r="U1" t="inlineStr">
        <is>
          <t>Bucket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SAP WebAS</dc:creator>
  <dcterms:created xmlns:dcterms="http://purl.org/dc/terms/" xmlns:xsi="http://www.w3.org/2001/XMLSchema-instance" xsi:type="dcterms:W3CDTF">2026-06-29T18:15:59Z</dcterms:created>
  <dcterms:modified xmlns:dcterms="http://purl.org/dc/terms/" xmlns:xsi="http://www.w3.org/2001/XMLSchema-instance" xsi:type="dcterms:W3CDTF">2026-06-29T18:15:59Z</dcterms:modified>
  <cp:lastModifiedBy>Jessica Cnossen</cp:lastModifiedBy>
  <cp:revision>1</cp:revision>
</cp:coreProperties>
</file>